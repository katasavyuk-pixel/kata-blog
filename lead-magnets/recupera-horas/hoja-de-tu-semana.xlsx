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ieza aquí" sheetId="1" state="visible" r:id="rId3"/>
    <sheet name="Tu semana" sheetId="2" state="visible" r:id="rId4"/>
    <sheet name="Ejempl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<sst xmlns="http://schemas.openxmlformats.org/spreadsheetml/2006/main" count="81" uniqueCount="57">
  <si>
    <t xml:space="preserve">Recupera horas de tu semana con IA</t>
  </si>
  <si>
    <t xml:space="preserve">La hoja de tu semana · Kata Ivanovych · kata.ianexora.com</t>
  </si>
  <si>
    <t xml:space="preserve">Cómo se usa (15 minutos)</t>
  </si>
  <si>
    <t xml:space="preserve">1. Ve a la pestaña «Tu semana» y apunta tus tareas repetitivas: las que haces casi igual cada vez. Correos parecidos, pasar datos de un sitio a otro, resúmenes, informes, buscar algo que ya tenías. Del trabajo o de tu vida.</t>
  </si>
  <si>
    <t xml:space="preserve">2. En cada una, pon cuántos minutos te lleva y cuántas veces la haces a la semana.</t>
  </si>
  <si>
    <t xml:space="preserve">3. Elige cuánto de esa tarea podría hacer una IA: casi toda, la mitad, poco o nada. Es tu estimación; si dudas, elige menos.</t>
  </si>
  <si>
    <t xml:space="preserve">4. La hoja te dice las horas al año que se te van en cada tarea, las que te puede devolver la IA y por cuál empezar.</t>
  </si>
  <si>
    <t xml:space="preserve">5. Opcional: pon abajo cuánto vale una hora tuya (o en la tabla, la de quien hace cada tarea) y lo verás también en euros.</t>
  </si>
  <si>
    <t xml:space="preserve">Las celdas amarillas son las que rellenas tú. El resto se calcula solo.</t>
  </si>
  <si>
    <t xml:space="preserve">Mira la pestaña «Ejemplo» para ver una semana ya rellena. La hoja es tuya: no envía nada a ningún sitio.</t>
  </si>
  <si>
    <t xml:space="preserve">Ajustes</t>
  </si>
  <si>
    <t xml:space="preserve">Puedes cambiarlos. Son los números que la hoja usa para calcular.</t>
  </si>
  <si>
    <t xml:space="preserve">Semanas que trabajas al año</t>
  </si>
  <si>
    <t xml:space="preserve">Un año tiene 52. Unas 4 se van en vacaciones y unas 3 en festivos. Pon las tuyas.</t>
  </si>
  <si>
    <t xml:space="preserve">Horas de tu semana de trabajo</t>
  </si>
  <si>
    <t xml:space="preserve">Para contarte las horas recuperadas en semanas de trabajo.</t>
  </si>
  <si>
    <t xml:space="preserve">Cuánto vale una hora tuya (€, opcional)</t>
  </si>
  <si>
    <t xml:space="preserve">Lo que cobras o lo que te cuesta una hora. Si lo dejas vacío, la hoja solo cuenta horas.</t>
  </si>
  <si>
    <t xml:space="preserve">Cuánto puede hacer la IA</t>
  </si>
  <si>
    <t xml:space="preserve">Son estimaciones para ordenar tus tareas, no una promesa. Si crees que «la mitad» es menos, cámbialo.</t>
  </si>
  <si>
    <t xml:space="preserve">Si eliges…</t>
  </si>
  <si>
    <t xml:space="preserve">…te devuelve</t>
  </si>
  <si>
    <t xml:space="preserve">Casi toda</t>
  </si>
  <si>
    <t xml:space="preserve">La mitad</t>
  </si>
  <si>
    <t xml:space="preserve">Poco</t>
  </si>
  <si>
    <t xml:space="preserve">Nada</t>
  </si>
  <si>
    <t xml:space="preserve">Y después</t>
  </si>
  <si>
    <t xml:space="preserve">Empieza por la tarea número 1 de «Tu semana». Abre tu IA (ChatGPT, Claude o Gemini) con tu ficha puesta y pásale este mensaje, cambiando lo que va entre corchetes:</t>
  </si>
  <si>
    <t xml:space="preserve">«Hago esta tarea [cada cuánto]: [la tarea]. Me lleva [minutos]. Lo que me llega es [qué recibes: un correo, una factura, unas notas] y lo que tiene que salir es [qué entregas]. ¿Qué parte puedes hacer tú, y cómo te lo paso cada vez para que lo hagas igual?»</t>
  </si>
  <si>
    <t xml:space="preserve">Haz la tarea con ella esta semana. Si te ahorra tiempo, pasa a la número 2. Si no, cuéntame qué falló respondiendo a cualquiera de mis correos: lo leo yo.</t>
  </si>
  <si>
    <t xml:space="preserve">Tu semana</t>
  </si>
  <si>
    <t xml:space="preserve">Horas al año en tareas repetitivas</t>
  </si>
  <si>
    <t xml:space="preserve">Por dónde empezar</t>
  </si>
  <si>
    <t xml:space="preserve">Horas que te puede devolver la IA</t>
  </si>
  <si>
    <t xml:space="preserve">1.</t>
  </si>
  <si>
    <t xml:space="preserve">Eso son, en semanas de trabajo</t>
  </si>
  <si>
    <t xml:space="preserve">2.</t>
  </si>
  <si>
    <t xml:space="preserve">Y en euros (si has puesto el valor de la hora)</t>
  </si>
  <si>
    <t xml:space="preserve">3.</t>
  </si>
  <si>
    <t xml:space="preserve">Tarea</t>
  </si>
  <si>
    <t xml:space="preserve">Minutos cada vez</t>
  </si>
  <si>
    <t xml:space="preserve">Veces por semana</t>
  </si>
  <si>
    <t xml:space="preserve">¿Cuánto puede hacer la IA?</t>
  </si>
  <si>
    <t xml:space="preserve">Horas al año</t>
  </si>
  <si>
    <t xml:space="preserve">Horas que te devuelve al año</t>
  </si>
  <si>
    <t xml:space="preserve">Orden</t>
  </si>
  <si>
    <t xml:space="preserve">€ por hora de quien la hace (opcional)</t>
  </si>
  <si>
    <t xml:space="preserve">€ al año que te devuelve</t>
  </si>
  <si>
    <t xml:space="preserve">Total</t>
  </si>
  <si>
    <t xml:space="preserve">Ejemplo</t>
  </si>
  <si>
    <t xml:space="preserve">Una semana inventada, para que veas cómo se rellena. La tuya va en la pestaña «Tu semana».</t>
  </si>
  <si>
    <t xml:space="preserve">Contestar correos que se repiten (presupuestos, dudas de clientes)</t>
  </si>
  <si>
    <t xml:space="preserve">Pasar datos de facturas o pedidos a una hoja</t>
  </si>
  <si>
    <t xml:space="preserve">Preparar el informe de la semana</t>
  </si>
  <si>
    <t xml:space="preserve">Resumir reuniones y repartir las tareas</t>
  </si>
  <si>
    <t xml:space="preserve">Buscar un documento o un dato que ya tenía</t>
  </si>
  <si>
    <t xml:space="preserve">Planificar las comidas y la compra de la semana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</si>
</sst>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&quot; €&quot;"/>
    <numFmt numFmtId="167" formatCode="0\ %"/>
    <numFmt numFmtId="168" formatCode="#,##0"/>
    <numFmt numFmtId="169" formatCode="#,##0&quot; h/año&quot;"/>
    <numFmt numFmtId="170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40A0D"/>
      <name val="Arial"/>
      <family val="0"/>
      <charset val="1"/>
    </font>
    <font>
      <sz val="10"/>
      <color rgb="FF5E4B50"/>
      <name val="Arial"/>
      <family val="0"/>
      <charset val="1"/>
    </font>
    <font>
      <b val="true"/>
      <sz val="12"/>
      <color rgb="FFC40F1F"/>
      <name val="Arial"/>
      <family val="0"/>
      <charset val="1"/>
    </font>
    <font>
      <sz val="11"/>
      <color rgb="FF140A0D"/>
      <name val="Arial"/>
      <family val="0"/>
      <charset val="1"/>
    </font>
    <font>
      <sz val="10"/>
      <color rgb="FF140A0D"/>
      <name val="Arial"/>
      <family val="0"/>
      <charset val="1"/>
    </font>
    <font>
      <b val="true"/>
      <sz val="11"/>
      <color rgb="FF140A0D"/>
      <name val="Arial"/>
      <family val="0"/>
      <charset val="1"/>
    </font>
    <font>
      <sz val="9"/>
      <color rgb="FF5E4B50"/>
      <name val="Arial"/>
      <family val="0"/>
      <charset val="1"/>
    </font>
    <font>
      <b val="true"/>
      <sz val="9"/>
      <color rgb="FF5E4B50"/>
      <name val="Arial"/>
      <family val="0"/>
      <charset val="1"/>
    </font>
    <font>
      <i val="true"/>
      <sz val="11"/>
      <color rgb="FF140A0D"/>
      <name val="Arial"/>
      <family val="0"/>
      <charset val="1"/>
    </font>
    <font>
      <b val="true"/>
      <sz val="18"/>
      <color rgb="FF140A0D"/>
      <name val="Arial"/>
      <family val="0"/>
      <charset val="1"/>
    </font>
    <font>
      <b val="true"/>
      <sz val="12"/>
      <color rgb="FF140A0D"/>
      <name val="Arial"/>
      <family val="0"/>
      <charset val="1"/>
    </font>
    <font>
      <b val="true"/>
      <sz val="11"/>
      <color rgb="FFC40F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C40F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EDEB"/>
      </patternFill>
    </fill>
    <fill>
      <patternFill patternType="solid">
        <fgColor rgb="FFF2EDEB"/>
        <bgColor rgb="FFFFF2CC"/>
      </patternFill>
    </fill>
    <fill>
      <patternFill patternType="solid">
        <fgColor rgb="FF140A0D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3D9D6"/>
      </left>
      <right style="thin">
        <color rgb="FFE3D9D6"/>
      </right>
      <top style="thin">
        <color rgb="FFE3D9D6"/>
      </top>
      <bottom style="thin">
        <color rgb="FFE3D9D6"/>
      </bottom>
      <diagonal/>
    </border>
    <border diagonalUp="false" diagonalDown="false">
      <left/>
      <right/>
      <top style="medium">
        <color rgb="FFE1142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142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EDEB"/>
      <rgbColor rgb="FF660066"/>
      <rgbColor rgb="FFFF8080"/>
      <rgbColor rgb="FF0066CC"/>
      <rgbColor rgb="FFE3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0A0D"/>
      <rgbColor rgb="FF333300"/>
      <rgbColor rgb="FFC40F1F"/>
      <rgbColor rgb="FF993366"/>
      <rgbColor rgb="FF333399"/>
      <rgbColor rgb="FF5E4B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4"/>
      <c r="D6" s="4"/>
    </row>
    <row r="7" customFormat="false" ht="31.5" hidden="false" customHeight="true" outlineLevel="0" collapsed="false">
      <c r="B7" s="4" t="s">
        <v>4</v>
      </c>
      <c r="C7" s="4"/>
      <c r="D7" s="4"/>
    </row>
    <row r="8" customFormat="false" ht="31.5" hidden="false" customHeight="true" outlineLevel="0" collapsed="false">
      <c r="B8" s="4" t="s">
        <v>5</v>
      </c>
      <c r="C8" s="4"/>
      <c r="D8" s="4"/>
    </row>
    <row r="9" customFormat="false" ht="31.5" hidden="false" customHeight="true" outlineLevel="0" collapsed="false">
      <c r="B9" s="4" t="s">
        <v>6</v>
      </c>
      <c r="C9" s="4"/>
      <c r="D9" s="4"/>
    </row>
    <row r="10" customFormat="false" ht="31.5" hidden="false" customHeight="true" outlineLevel="0" collapsed="false">
      <c r="B10" s="4" t="s">
        <v>7</v>
      </c>
      <c r="C10" s="4"/>
      <c r="D10" s="4"/>
    </row>
    <row r="12" customFormat="false" ht="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6" t="s">
        <v>9</v>
      </c>
      <c r="C13" s="6"/>
      <c r="D13" s="6"/>
    </row>
    <row r="19" customFormat="false" ht="15" hidden="false" customHeight="false" outlineLevel="0" collapsed="false">
      <c r="B19" s="3" t="s">
        <v>10</v>
      </c>
    </row>
    <row r="20" customFormat="false" ht="15" hidden="false" customHeight="false" outlineLevel="0" collapsed="false">
      <c r="B20" s="2" t="s">
        <v>11</v>
      </c>
    </row>
    <row r="21" customFormat="false" ht="25.5" hidden="false" customHeight="true" outlineLevel="0" collapsed="false">
      <c r="B21" s="7" t="s">
        <v>12</v>
      </c>
      <c r="C21" s="8" t="n">
        <v>45</v>
      </c>
      <c r="D21" s="9" t="s">
        <v>13</v>
      </c>
    </row>
    <row r="22" customFormat="false" ht="25.5" hidden="false" customHeight="true" outlineLevel="0" collapsed="false">
      <c r="B22" s="7" t="s">
        <v>14</v>
      </c>
      <c r="C22" s="8" t="n">
        <v>40</v>
      </c>
      <c r="D22" s="9" t="s">
        <v>15</v>
      </c>
    </row>
    <row r="23" customFormat="false" ht="25.5" hidden="false" customHeight="true" outlineLevel="0" collapsed="false">
      <c r="B23" s="7" t="s">
        <v>16</v>
      </c>
      <c r="C23" s="10"/>
      <c r="D23" s="9" t="s">
        <v>17</v>
      </c>
    </row>
    <row r="25" customFormat="false" ht="25.5" hidden="false" customHeight="true" outlineLevel="0" collapsed="false">
      <c r="B25" s="11" t="s">
        <v>18</v>
      </c>
      <c r="D25" s="12" t="s">
        <v>19</v>
      </c>
    </row>
    <row r="26" customFormat="false" ht="15" hidden="false" customHeight="false" outlineLevel="0" collapsed="false">
      <c r="B26" s="13" t="s">
        <v>20</v>
      </c>
      <c r="C26" s="13" t="s">
        <v>21</v>
      </c>
    </row>
    <row r="27" customFormat="false" ht="15" hidden="false" customHeight="false" outlineLevel="0" collapsed="false">
      <c r="B27" s="7" t="s">
        <v>22</v>
      </c>
      <c r="C27" s="14" t="n">
        <v>0.8</v>
      </c>
    </row>
    <row r="28" customFormat="false" ht="15" hidden="false" customHeight="false" outlineLevel="0" collapsed="false">
      <c r="B28" s="7" t="s">
        <v>23</v>
      </c>
      <c r="C28" s="14" t="n">
        <v>0.5</v>
      </c>
    </row>
    <row r="29" customFormat="false" ht="15" hidden="false" customHeight="false" outlineLevel="0" collapsed="false">
      <c r="B29" s="7" t="s">
        <v>24</v>
      </c>
      <c r="C29" s="14" t="n">
        <v>0.2</v>
      </c>
    </row>
    <row r="30" customFormat="false" ht="15" hidden="false" customHeight="false" outlineLevel="0" collapsed="false">
      <c r="B30" s="7" t="s">
        <v>25</v>
      </c>
      <c r="C30" s="14" t="n">
        <v>0</v>
      </c>
    </row>
    <row r="33" customFormat="false" ht="15" hidden="false" customHeight="false" outlineLevel="0" collapsed="false">
      <c r="B33" s="3" t="s">
        <v>26</v>
      </c>
    </row>
    <row r="34" customFormat="false" ht="31.5" hidden="false" customHeight="true" outlineLevel="0" collapsed="false">
      <c r="B34" s="4" t="s">
        <v>27</v>
      </c>
      <c r="C34" s="4"/>
      <c r="D34" s="4"/>
    </row>
    <row r="35" customFormat="false" ht="45.75" hidden="false" customHeight="true" outlineLevel="0" collapsed="false">
      <c r="B35" s="15" t="s">
        <v>28</v>
      </c>
      <c r="C35" s="15"/>
      <c r="D35" s="15"/>
    </row>
    <row r="36" customFormat="false" ht="31.5" hidden="false" customHeight="true" outlineLevel="0" collapsed="false">
      <c r="B36" s="4" t="s">
        <v>29</v>
      </c>
      <c r="C36" s="4"/>
      <c r="D36" s="4"/>
    </row>
  </sheetData>
  <mergeCells count="9">
    <mergeCell ref="B6:D6"/>
    <mergeCell ref="B7:D7"/>
    <mergeCell ref="B8:D8"/>
    <mergeCell ref="B9:D9"/>
    <mergeCell ref="B10:D10"/>
    <mergeCell ref="B13:D13"/>
    <mergeCell ref="B34:D34"/>
    <mergeCell ref="B35:D35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3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true" outlineLevel="0" max="10" min="10" style="0" width="4"/>
  </cols>
  <sheetData>
    <row r="1" customFormat="false" ht="22.05" hidden="false" customHeight="false" outlineLevel="0" collapsed="false">
      <c r="A1" s="16" t="s">
        <v>30</v>
      </c>
    </row>
    <row r="4" customFormat="false" ht="15" hidden="false" customHeight="false" outlineLevel="0" collapsed="false">
      <c r="A4" s="7" t="s">
        <v>31</v>
      </c>
      <c r="B4" s="17" t="n">
        <f aca="false">SUM($E$12:$E$41)</f>
        <v>0</v>
      </c>
      <c r="D4" s="18" t="s">
        <v>32</v>
      </c>
    </row>
    <row r="5" customFormat="false" ht="15" hidden="false" customHeight="false" outlineLevel="0" collapsed="false">
      <c r="A5" s="7" t="s">
        <v>33</v>
      </c>
      <c r="B5" s="17" t="n">
        <f aca="false">SUM($F$12:$F$41)</f>
        <v>0</v>
      </c>
      <c r="D5" s="11" t="s">
        <v>34</v>
      </c>
      <c r="E5" s="19" t="str">
        <f aca="false">IFERROR(INDEX($A$12:$A$41,MATCH(LARGE($J$12:$J$41,1),$J$12:$J$41,0)),"")</f>
        <v/>
      </c>
      <c r="F5" s="19"/>
      <c r="G5" s="19"/>
      <c r="H5" s="19"/>
      <c r="I5" s="20" t="str">
        <f aca="false">IFERROR(INDEX($F$12:$F$41,MATCH(LARGE($J$12:$J$41,1),$J$12:$J$41,0)),"")</f>
        <v/>
      </c>
    </row>
    <row r="6" customFormat="false" ht="15" hidden="false" customHeight="false" outlineLevel="0" collapsed="false">
      <c r="A6" s="7" t="s">
        <v>35</v>
      </c>
      <c r="B6" s="21" t="n">
        <f aca="false">IF(B5=0,0,B5/'Empieza aquí'!$C$22)</f>
        <v>0</v>
      </c>
      <c r="D6" s="11" t="s">
        <v>36</v>
      </c>
      <c r="E6" s="19" t="str">
        <f aca="false">IFERROR(INDEX($A$12:$A$41,MATCH(LARGE($J$12:$J$41,2),$J$12:$J$41,0)),"")</f>
        <v/>
      </c>
      <c r="F6" s="19"/>
      <c r="G6" s="19"/>
      <c r="H6" s="19"/>
      <c r="I6" s="20" t="str">
        <f aca="false">IFERROR(INDEX($F$12:$F$41,MATCH(LARGE($J$12:$J$41,2),$J$12:$J$41,0)),"")</f>
        <v/>
      </c>
    </row>
    <row r="7" customFormat="false" ht="15" hidden="false" customHeight="false" outlineLevel="0" collapsed="false">
      <c r="A7" s="7" t="s">
        <v>37</v>
      </c>
      <c r="B7" s="22" t="str">
        <f aca="false">IF(COUNT($I$12:$I$41)=0,"—",SUM($I$12:$I$41))</f>
        <v>—</v>
      </c>
      <c r="D7" s="11" t="s">
        <v>38</v>
      </c>
      <c r="E7" s="19" t="str">
        <f aca="false">IFERROR(INDEX($A$12:$A$41,MATCH(LARGE($J$12:$J$41,3),$J$12:$J$41,0)),"")</f>
        <v/>
      </c>
      <c r="F7" s="19"/>
      <c r="G7" s="19"/>
      <c r="H7" s="19"/>
      <c r="I7" s="20" t="str">
        <f aca="false">IFERROR(INDEX($F$12:$F$41,MATCH(LARGE($J$12:$J$41,3),$J$12:$J$41,0)),"")</f>
        <v/>
      </c>
    </row>
    <row r="11" customFormat="false" ht="42" hidden="false" customHeight="true" outlineLevel="0" collapsed="false">
      <c r="A11" s="23" t="s">
        <v>39</v>
      </c>
      <c r="B11" s="24" t="s">
        <v>40</v>
      </c>
      <c r="C11" s="24" t="s">
        <v>41</v>
      </c>
      <c r="D11" s="24" t="s">
        <v>42</v>
      </c>
      <c r="E11" s="24" t="s">
        <v>43</v>
      </c>
      <c r="F11" s="24" t="s">
        <v>44</v>
      </c>
      <c r="G11" s="24" t="s">
        <v>45</v>
      </c>
      <c r="H11" s="24" t="s">
        <v>46</v>
      </c>
      <c r="I11" s="24" t="s">
        <v>47</v>
      </c>
    </row>
    <row r="12" customFormat="false" ht="15" hidden="false" customHeight="false" outlineLevel="0" collapsed="false">
      <c r="A12" s="25"/>
      <c r="B12" s="25"/>
      <c r="C12" s="25"/>
      <c r="D12" s="25"/>
      <c r="E12" s="26" t="str">
        <f aca="false">IF(OR(B12="",C12=""),"",B12*C12*'Empieza aquí'!$C$21/60)</f>
        <v/>
      </c>
      <c r="F12" s="27" t="str">
        <f aca="false">IF(E12="","",E12*IFERROR(INDEX('Empieza aquí'!$C$27:$C$30,MATCH(D12,'Empieza aquí'!$B$27:$B$30,0)),0))</f>
        <v/>
      </c>
      <c r="G12" s="28" t="str">
        <f aca="false">IF(OR(F12="",F12=0),"",RANK(F12,$F$12:$F$41))</f>
        <v/>
      </c>
      <c r="H12" s="29"/>
      <c r="I12" s="30" t="str">
        <f aca="false">IF(OR(F12="",AND(H12="",'Empieza aquí'!$C$23="")),"",F12*IF(H12&lt;&gt;"",H12,'Empieza aquí'!$C$23))</f>
        <v/>
      </c>
      <c r="J12" s="31" t="str">
        <f aca="false">IF(OR(F12="",F12=0),"",F12+ROW()/100000)</f>
        <v/>
      </c>
    </row>
    <row r="13" customFormat="false" ht="15" hidden="false" customHeight="false" outlineLevel="0" collapsed="false">
      <c r="A13" s="25"/>
      <c r="B13" s="25"/>
      <c r="C13" s="25"/>
      <c r="D13" s="25"/>
      <c r="E13" s="26" t="str">
        <f aca="false">IF(OR(B13="",C13=""),"",B13*C13*'Empieza aquí'!$C$21/60)</f>
        <v/>
      </c>
      <c r="F13" s="27" t="str">
        <f aca="false">IF(E13="","",E13*IFERROR(INDEX('Empieza aquí'!$C$27:$C$30,MATCH(D13,'Empieza aquí'!$B$27:$B$30,0)),0))</f>
        <v/>
      </c>
      <c r="G13" s="28" t="str">
        <f aca="false">IF(OR(F13="",F13=0),"",RANK(F13,$F$12:$F$41))</f>
        <v/>
      </c>
      <c r="H13" s="29"/>
      <c r="I13" s="30" t="str">
        <f aca="false">IF(OR(F13="",AND(H13="",'Empieza aquí'!$C$23="")),"",F13*IF(H13&lt;&gt;"",H13,'Empieza aquí'!$C$23))</f>
        <v/>
      </c>
      <c r="J13" s="31" t="str">
        <f aca="false">IF(OR(F13="",F13=0),"",F13+ROW()/100000)</f>
        <v/>
      </c>
    </row>
    <row r="14" customFormat="false" ht="15" hidden="false" customHeight="false" outlineLevel="0" collapsed="false">
      <c r="A14" s="25"/>
      <c r="B14" s="25"/>
      <c r="C14" s="25"/>
      <c r="D14" s="25"/>
      <c r="E14" s="26" t="str">
        <f aca="false">IF(OR(B14="",C14=""),"",B14*C14*'Empieza aquí'!$C$21/60)</f>
        <v/>
      </c>
      <c r="F14" s="27" t="str">
        <f aca="false">IF(E14="","",E14*IFERROR(INDEX('Empieza aquí'!$C$27:$C$30,MATCH(D14,'Empieza aquí'!$B$27:$B$30,0)),0))</f>
        <v/>
      </c>
      <c r="G14" s="28" t="str">
        <f aca="false">IF(OR(F14="",F14=0),"",RANK(F14,$F$12:$F$41))</f>
        <v/>
      </c>
      <c r="H14" s="29"/>
      <c r="I14" s="30" t="str">
        <f aca="false">IF(OR(F14="",AND(H14="",'Empieza aquí'!$C$23="")),"",F14*IF(H14&lt;&gt;"",H14,'Empieza aquí'!$C$23))</f>
        <v/>
      </c>
      <c r="J14" s="31" t="str">
        <f aca="false">IF(OR(F14="",F14=0),"",F14+ROW()/100000)</f>
        <v/>
      </c>
    </row>
    <row r="15" customFormat="false" ht="15" hidden="false" customHeight="false" outlineLevel="0" collapsed="false">
      <c r="A15" s="25"/>
      <c r="B15" s="25"/>
      <c r="C15" s="25"/>
      <c r="D15" s="25"/>
      <c r="E15" s="26" t="str">
        <f aca="false">IF(OR(B15="",C15=""),"",B15*C15*'Empieza aquí'!$C$21/60)</f>
        <v/>
      </c>
      <c r="F15" s="27" t="str">
        <f aca="false">IF(E15="","",E15*IFERROR(INDEX('Empieza aquí'!$C$27:$C$30,MATCH(D15,'Empieza aquí'!$B$27:$B$30,0)),0))</f>
        <v/>
      </c>
      <c r="G15" s="28" t="str">
        <f aca="false">IF(OR(F15="",F15=0),"",RANK(F15,$F$12:$F$41))</f>
        <v/>
      </c>
      <c r="H15" s="29"/>
      <c r="I15" s="30" t="str">
        <f aca="false">IF(OR(F15="",AND(H15="",'Empieza aquí'!$C$23="")),"",F15*IF(H15&lt;&gt;"",H15,'Empieza aquí'!$C$23))</f>
        <v/>
      </c>
      <c r="J15" s="31" t="str">
        <f aca="false">IF(OR(F15="",F15=0),"",F15+ROW()/100000)</f>
        <v/>
      </c>
    </row>
    <row r="16" customFormat="false" ht="15" hidden="false" customHeight="false" outlineLevel="0" collapsed="false">
      <c r="A16" s="25"/>
      <c r="B16" s="25"/>
      <c r="C16" s="25"/>
      <c r="D16" s="25"/>
      <c r="E16" s="26" t="str">
        <f aca="false">IF(OR(B16="",C16=""),"",B16*C16*'Empieza aquí'!$C$21/60)</f>
        <v/>
      </c>
      <c r="F16" s="27" t="str">
        <f aca="false">IF(E16="","",E16*IFERROR(INDEX('Empieza aquí'!$C$27:$C$30,MATCH(D16,'Empieza aquí'!$B$27:$B$30,0)),0))</f>
        <v/>
      </c>
      <c r="G16" s="28" t="str">
        <f aca="false">IF(OR(F16="",F16=0),"",RANK(F16,$F$12:$F$41))</f>
        <v/>
      </c>
      <c r="H16" s="29"/>
      <c r="I16" s="30" t="str">
        <f aca="false">IF(OR(F16="",AND(H16="",'Empieza aquí'!$C$23="")),"",F16*IF(H16&lt;&gt;"",H16,'Empieza aquí'!$C$23))</f>
        <v/>
      </c>
      <c r="J16" s="31" t="str">
        <f aca="false">IF(OR(F16="",F16=0),"",F16+ROW()/100000)</f>
        <v/>
      </c>
    </row>
    <row r="17" customFormat="false" ht="15" hidden="false" customHeight="false" outlineLevel="0" collapsed="false">
      <c r="A17" s="25"/>
      <c r="B17" s="25"/>
      <c r="C17" s="25"/>
      <c r="D17" s="25"/>
      <c r="E17" s="26" t="str">
        <f aca="false">IF(OR(B17="",C17=""),"",B17*C17*'Empieza aquí'!$C$21/60)</f>
        <v/>
      </c>
      <c r="F17" s="27" t="str">
        <f aca="false">IF(E17="","",E17*IFERROR(INDEX('Empieza aquí'!$C$27:$C$30,MATCH(D17,'Empieza aquí'!$B$27:$B$30,0)),0))</f>
        <v/>
      </c>
      <c r="G17" s="28" t="str">
        <f aca="false">IF(OR(F17="",F17=0),"",RANK(F17,$F$12:$F$41))</f>
        <v/>
      </c>
      <c r="H17" s="29"/>
      <c r="I17" s="30" t="str">
        <f aca="false">IF(OR(F17="",AND(H17="",'Empieza aquí'!$C$23="")),"",F17*IF(H17&lt;&gt;"",H17,'Empieza aquí'!$C$23))</f>
        <v/>
      </c>
      <c r="J17" s="31" t="str">
        <f aca="false">IF(OR(F17="",F17=0),"",F17+ROW()/100000)</f>
        <v/>
      </c>
    </row>
    <row r="18" customFormat="false" ht="15" hidden="false" customHeight="false" outlineLevel="0" collapsed="false">
      <c r="A18" s="25"/>
      <c r="B18" s="25"/>
      <c r="C18" s="25"/>
      <c r="D18" s="25"/>
      <c r="E18" s="26" t="str">
        <f aca="false">IF(OR(B18="",C18=""),"",B18*C18*'Empieza aquí'!$C$21/60)</f>
        <v/>
      </c>
      <c r="F18" s="27" t="str">
        <f aca="false">IF(E18="","",E18*IFERROR(INDEX('Empieza aquí'!$C$27:$C$30,MATCH(D18,'Empieza aquí'!$B$27:$B$30,0)),0))</f>
        <v/>
      </c>
      <c r="G18" s="28" t="str">
        <f aca="false">IF(OR(F18="",F18=0),"",RANK(F18,$F$12:$F$41))</f>
        <v/>
      </c>
      <c r="H18" s="29"/>
      <c r="I18" s="30" t="str">
        <f aca="false">IF(OR(F18="",AND(H18="",'Empieza aquí'!$C$23="")),"",F18*IF(H18&lt;&gt;"",H18,'Empieza aquí'!$C$23))</f>
        <v/>
      </c>
      <c r="J18" s="31" t="str">
        <f aca="false">IF(OR(F18="",F18=0),"",F18+ROW()/100000)</f>
        <v/>
      </c>
    </row>
    <row r="19" customFormat="false" ht="15" hidden="false" customHeight="false" outlineLevel="0" collapsed="false">
      <c r="A19" s="25"/>
      <c r="B19" s="25"/>
      <c r="C19" s="25"/>
      <c r="D19" s="25"/>
      <c r="E19" s="26" t="str">
        <f aca="false">IF(OR(B19="",C19=""),"",B19*C19*'Empieza aquí'!$C$21/60)</f>
        <v/>
      </c>
      <c r="F19" s="27" t="str">
        <f aca="false">IF(E19="","",E19*IFERROR(INDEX('Empieza aquí'!$C$27:$C$30,MATCH(D19,'Empieza aquí'!$B$27:$B$30,0)),0))</f>
        <v/>
      </c>
      <c r="G19" s="28" t="str">
        <f aca="false">IF(OR(F19="",F19=0),"",RANK(F19,$F$12:$F$41))</f>
        <v/>
      </c>
      <c r="H19" s="29"/>
      <c r="I19" s="30" t="str">
        <f aca="false">IF(OR(F19="",AND(H19="",'Empieza aquí'!$C$23="")),"",F19*IF(H19&lt;&gt;"",H19,'Empieza aquí'!$C$23))</f>
        <v/>
      </c>
      <c r="J19" s="31" t="str">
        <f aca="false">IF(OR(F19="",F19=0),"",F19+ROW()/100000)</f>
        <v/>
      </c>
    </row>
    <row r="20" customFormat="false" ht="15" hidden="false" customHeight="false" outlineLevel="0" collapsed="false">
      <c r="A20" s="25"/>
      <c r="B20" s="25"/>
      <c r="C20" s="25"/>
      <c r="D20" s="25"/>
      <c r="E20" s="26" t="str">
        <f aca="false">IF(OR(B20="",C20=""),"",B20*C20*'Empieza aquí'!$C$21/60)</f>
        <v/>
      </c>
      <c r="F20" s="27" t="str">
        <f aca="false">IF(E20="","",E20*IFERROR(INDEX('Empieza aquí'!$C$27:$C$30,MATCH(D20,'Empieza aquí'!$B$27:$B$30,0)),0))</f>
        <v/>
      </c>
      <c r="G20" s="28" t="str">
        <f aca="false">IF(OR(F20="",F20=0),"",RANK(F20,$F$12:$F$41))</f>
        <v/>
      </c>
      <c r="H20" s="29"/>
      <c r="I20" s="30" t="str">
        <f aca="false">IF(OR(F20="",AND(H20="",'Empieza aquí'!$C$23="")),"",F20*IF(H20&lt;&gt;"",H20,'Empieza aquí'!$C$23))</f>
        <v/>
      </c>
      <c r="J20" s="31" t="str">
        <f aca="false">IF(OR(F20="",F20=0),"",F20+ROW()/100000)</f>
        <v/>
      </c>
    </row>
    <row r="21" customFormat="false" ht="15" hidden="false" customHeight="false" outlineLevel="0" collapsed="false">
      <c r="A21" s="25"/>
      <c r="B21" s="25"/>
      <c r="C21" s="25"/>
      <c r="D21" s="25"/>
      <c r="E21" s="26" t="str">
        <f aca="false">IF(OR(B21="",C21=""),"",B21*C21*'Empieza aquí'!$C$21/60)</f>
        <v/>
      </c>
      <c r="F21" s="27" t="str">
        <f aca="false">IF(E21="","",E21*IFERROR(INDEX('Empieza aquí'!$C$27:$C$30,MATCH(D21,'Empieza aquí'!$B$27:$B$30,0)),0))</f>
        <v/>
      </c>
      <c r="G21" s="28" t="str">
        <f aca="false">IF(OR(F21="",F21=0),"",RANK(F21,$F$12:$F$41))</f>
        <v/>
      </c>
      <c r="H21" s="29"/>
      <c r="I21" s="30" t="str">
        <f aca="false">IF(OR(F21="",AND(H21="",'Empieza aquí'!$C$23="")),"",F21*IF(H21&lt;&gt;"",H21,'Empieza aquí'!$C$23))</f>
        <v/>
      </c>
      <c r="J21" s="31" t="str">
        <f aca="false">IF(OR(F21="",F21=0),"",F21+ROW()/100000)</f>
        <v/>
      </c>
    </row>
    <row r="22" customFormat="false" ht="15" hidden="false" customHeight="false" outlineLevel="0" collapsed="false">
      <c r="A22" s="25"/>
      <c r="B22" s="25"/>
      <c r="C22" s="25"/>
      <c r="D22" s="25"/>
      <c r="E22" s="26" t="str">
        <f aca="false">IF(OR(B22="",C22=""),"",B22*C22*'Empieza aquí'!$C$21/60)</f>
        <v/>
      </c>
      <c r="F22" s="27" t="str">
        <f aca="false">IF(E22="","",E22*IFERROR(INDEX('Empieza aquí'!$C$27:$C$30,MATCH(D22,'Empieza aquí'!$B$27:$B$30,0)),0))</f>
        <v/>
      </c>
      <c r="G22" s="28" t="str">
        <f aca="false">IF(OR(F22="",F22=0),"",RANK(F22,$F$12:$F$41))</f>
        <v/>
      </c>
      <c r="H22" s="29"/>
      <c r="I22" s="30" t="str">
        <f aca="false">IF(OR(F22="",AND(H22="",'Empieza aquí'!$C$23="")),"",F22*IF(H22&lt;&gt;"",H22,'Empieza aquí'!$C$23))</f>
        <v/>
      </c>
      <c r="J22" s="31" t="str">
        <f aca="false">IF(OR(F22="",F22=0),"",F22+ROW()/100000)</f>
        <v/>
      </c>
    </row>
    <row r="23" customFormat="false" ht="15" hidden="false" customHeight="false" outlineLevel="0" collapsed="false">
      <c r="A23" s="25"/>
      <c r="B23" s="25"/>
      <c r="C23" s="25"/>
      <c r="D23" s="25"/>
      <c r="E23" s="26" t="str">
        <f aca="false">IF(OR(B23="",C23=""),"",B23*C23*'Empieza aquí'!$C$21/60)</f>
        <v/>
      </c>
      <c r="F23" s="27" t="str">
        <f aca="false">IF(E23="","",E23*IFERROR(INDEX('Empieza aquí'!$C$27:$C$30,MATCH(D23,'Empieza aquí'!$B$27:$B$30,0)),0))</f>
        <v/>
      </c>
      <c r="G23" s="28" t="str">
        <f aca="false">IF(OR(F23="",F23=0),"",RANK(F23,$F$12:$F$41))</f>
        <v/>
      </c>
      <c r="H23" s="29"/>
      <c r="I23" s="30" t="str">
        <f aca="false">IF(OR(F23="",AND(H23="",'Empieza aquí'!$C$23="")),"",F23*IF(H23&lt;&gt;"",H23,'Empieza aquí'!$C$23))</f>
        <v/>
      </c>
      <c r="J23" s="31" t="str">
        <f aca="false">IF(OR(F23="",F23=0),"",F23+ROW()/100000)</f>
        <v/>
      </c>
    </row>
    <row r="24" customFormat="false" ht="15" hidden="false" customHeight="false" outlineLevel="0" collapsed="false">
      <c r="A24" s="25"/>
      <c r="B24" s="25"/>
      <c r="C24" s="25"/>
      <c r="D24" s="25"/>
      <c r="E24" s="26" t="str">
        <f aca="false">IF(OR(B24="",C24=""),"",B24*C24*'Empieza aquí'!$C$21/60)</f>
        <v/>
      </c>
      <c r="F24" s="27" t="str">
        <f aca="false">IF(E24="","",E24*IFERROR(INDEX('Empieza aquí'!$C$27:$C$30,MATCH(D24,'Empieza aquí'!$B$27:$B$30,0)),0))</f>
        <v/>
      </c>
      <c r="G24" s="28" t="str">
        <f aca="false">IF(OR(F24="",F24=0),"",RANK(F24,$F$12:$F$41))</f>
        <v/>
      </c>
      <c r="H24" s="29"/>
      <c r="I24" s="30" t="str">
        <f aca="false">IF(OR(F24="",AND(H24="",'Empieza aquí'!$C$23="")),"",F24*IF(H24&lt;&gt;"",H24,'Empieza aquí'!$C$23))</f>
        <v/>
      </c>
      <c r="J24" s="31" t="str">
        <f aca="false">IF(OR(F24="",F24=0),"",F24+ROW()/100000)</f>
        <v/>
      </c>
    </row>
    <row r="25" customFormat="false" ht="15" hidden="false" customHeight="false" outlineLevel="0" collapsed="false">
      <c r="A25" s="25"/>
      <c r="B25" s="25"/>
      <c r="C25" s="25"/>
      <c r="D25" s="25"/>
      <c r="E25" s="26" t="str">
        <f aca="false">IF(OR(B25="",C25=""),"",B25*C25*'Empieza aquí'!$C$21/60)</f>
        <v/>
      </c>
      <c r="F25" s="27" t="str">
        <f aca="false">IF(E25="","",E25*IFERROR(INDEX('Empieza aquí'!$C$27:$C$30,MATCH(D25,'Empieza aquí'!$B$27:$B$30,0)),0))</f>
        <v/>
      </c>
      <c r="G25" s="28" t="str">
        <f aca="false">IF(OR(F25="",F25=0),"",RANK(F25,$F$12:$F$41))</f>
        <v/>
      </c>
      <c r="H25" s="29"/>
      <c r="I25" s="30" t="str">
        <f aca="false">IF(OR(F25="",AND(H25="",'Empieza aquí'!$C$23="")),"",F25*IF(H25&lt;&gt;"",H25,'Empieza aquí'!$C$23))</f>
        <v/>
      </c>
      <c r="J25" s="31" t="str">
        <f aca="false">IF(OR(F25="",F25=0),"",F25+ROW()/100000)</f>
        <v/>
      </c>
    </row>
    <row r="26" customFormat="false" ht="15" hidden="false" customHeight="false" outlineLevel="0" collapsed="false">
      <c r="A26" s="25"/>
      <c r="B26" s="25"/>
      <c r="C26" s="25"/>
      <c r="D26" s="25"/>
      <c r="E26" s="26" t="str">
        <f aca="false">IF(OR(B26="",C26=""),"",B26*C26*'Empieza aquí'!$C$21/60)</f>
        <v/>
      </c>
      <c r="F26" s="27" t="str">
        <f aca="false">IF(E26="","",E26*IFERROR(INDEX('Empieza aquí'!$C$27:$C$30,MATCH(D26,'Empieza aquí'!$B$27:$B$30,0)),0))</f>
        <v/>
      </c>
      <c r="G26" s="28" t="str">
        <f aca="false">IF(OR(F26="",F26=0),"",RANK(F26,$F$12:$F$41))</f>
        <v/>
      </c>
      <c r="H26" s="29"/>
      <c r="I26" s="30" t="str">
        <f aca="false">IF(OR(F26="",AND(H26="",'Empieza aquí'!$C$23="")),"",F26*IF(H26&lt;&gt;"",H26,'Empieza aquí'!$C$23))</f>
        <v/>
      </c>
      <c r="J26" s="31" t="str">
        <f aca="false">IF(OR(F26="",F26=0),"",F26+ROW()/100000)</f>
        <v/>
      </c>
    </row>
    <row r="27" customFormat="false" ht="15" hidden="false" customHeight="false" outlineLevel="0" collapsed="false">
      <c r="A27" s="25"/>
      <c r="B27" s="25"/>
      <c r="C27" s="25"/>
      <c r="D27" s="25"/>
      <c r="E27" s="26" t="str">
        <f aca="false">IF(OR(B27="",C27=""),"",B27*C27*'Empieza aquí'!$C$21/60)</f>
        <v/>
      </c>
      <c r="F27" s="27" t="str">
        <f aca="false">IF(E27="","",E27*IFERROR(INDEX('Empieza aquí'!$C$27:$C$30,MATCH(D27,'Empieza aquí'!$B$27:$B$30,0)),0))</f>
        <v/>
      </c>
      <c r="G27" s="28" t="str">
        <f aca="false">IF(OR(F27="",F27=0),"",RANK(F27,$F$12:$F$41))</f>
        <v/>
      </c>
      <c r="H27" s="29"/>
      <c r="I27" s="30" t="str">
        <f aca="false">IF(OR(F27="",AND(H27="",'Empieza aquí'!$C$23="")),"",F27*IF(H27&lt;&gt;"",H27,'Empieza aquí'!$C$23))</f>
        <v/>
      </c>
      <c r="J27" s="31" t="str">
        <f aca="false">IF(OR(F27="",F27=0),"",F27+ROW()/100000)</f>
        <v/>
      </c>
    </row>
    <row r="28" customFormat="false" ht="15" hidden="false" customHeight="false" outlineLevel="0" collapsed="false">
      <c r="A28" s="25"/>
      <c r="B28" s="25"/>
      <c r="C28" s="25"/>
      <c r="D28" s="25"/>
      <c r="E28" s="26" t="str">
        <f aca="false">IF(OR(B28="",C28=""),"",B28*C28*'Empieza aquí'!$C$21/60)</f>
        <v/>
      </c>
      <c r="F28" s="27" t="str">
        <f aca="false">IF(E28="","",E28*IFERROR(INDEX('Empieza aquí'!$C$27:$C$30,MATCH(D28,'Empieza aquí'!$B$27:$B$30,0)),0))</f>
        <v/>
      </c>
      <c r="G28" s="28" t="str">
        <f aca="false">IF(OR(F28="",F28=0),"",RANK(F28,$F$12:$F$41))</f>
        <v/>
      </c>
      <c r="H28" s="29"/>
      <c r="I28" s="30" t="str">
        <f aca="false">IF(OR(F28="",AND(H28="",'Empieza aquí'!$C$23="")),"",F28*IF(H28&lt;&gt;"",H28,'Empieza aquí'!$C$23))</f>
        <v/>
      </c>
      <c r="J28" s="31" t="str">
        <f aca="false">IF(OR(F28="",F28=0),"",F28+ROW()/100000)</f>
        <v/>
      </c>
    </row>
    <row r="29" customFormat="false" ht="15" hidden="false" customHeight="false" outlineLevel="0" collapsed="false">
      <c r="A29" s="25"/>
      <c r="B29" s="25"/>
      <c r="C29" s="25"/>
      <c r="D29" s="25"/>
      <c r="E29" s="26" t="str">
        <f aca="false">IF(OR(B29="",C29=""),"",B29*C29*'Empieza aquí'!$C$21/60)</f>
        <v/>
      </c>
      <c r="F29" s="27" t="str">
        <f aca="false">IF(E29="","",E29*IFERROR(INDEX('Empieza aquí'!$C$27:$C$30,MATCH(D29,'Empieza aquí'!$B$27:$B$30,0)),0))</f>
        <v/>
      </c>
      <c r="G29" s="28" t="str">
        <f aca="false">IF(OR(F29="",F29=0),"",RANK(F29,$F$12:$F$41))</f>
        <v/>
      </c>
      <c r="H29" s="29"/>
      <c r="I29" s="30" t="str">
        <f aca="false">IF(OR(F29="",AND(H29="",'Empieza aquí'!$C$23="")),"",F29*IF(H29&lt;&gt;"",H29,'Empieza aquí'!$C$23))</f>
        <v/>
      </c>
      <c r="J29" s="31" t="str">
        <f aca="false">IF(OR(F29="",F29=0),"",F29+ROW()/100000)</f>
        <v/>
      </c>
    </row>
    <row r="30" customFormat="false" ht="15" hidden="false" customHeight="false" outlineLevel="0" collapsed="false">
      <c r="A30" s="25"/>
      <c r="B30" s="25"/>
      <c r="C30" s="25"/>
      <c r="D30" s="25"/>
      <c r="E30" s="26" t="str">
        <f aca="false">IF(OR(B30="",C30=""),"",B30*C30*'Empieza aquí'!$C$21/60)</f>
        <v/>
      </c>
      <c r="F30" s="27" t="str">
        <f aca="false">IF(E30="","",E30*IFERROR(INDEX('Empieza aquí'!$C$27:$C$30,MATCH(D30,'Empieza aquí'!$B$27:$B$30,0)),0))</f>
        <v/>
      </c>
      <c r="G30" s="28" t="str">
        <f aca="false">IF(OR(F30="",F30=0),"",RANK(F30,$F$12:$F$41))</f>
        <v/>
      </c>
      <c r="H30" s="29"/>
      <c r="I30" s="30" t="str">
        <f aca="false">IF(OR(F30="",AND(H30="",'Empieza aquí'!$C$23="")),"",F30*IF(H30&lt;&gt;"",H30,'Empieza aquí'!$C$23))</f>
        <v/>
      </c>
      <c r="J30" s="31" t="str">
        <f aca="false">IF(OR(F30="",F30=0),"",F30+ROW()/100000)</f>
        <v/>
      </c>
    </row>
    <row r="31" customFormat="false" ht="15" hidden="false" customHeight="false" outlineLevel="0" collapsed="false">
      <c r="A31" s="25"/>
      <c r="B31" s="25"/>
      <c r="C31" s="25"/>
      <c r="D31" s="25"/>
      <c r="E31" s="26" t="str">
        <f aca="false">IF(OR(B31="",C31=""),"",B31*C31*'Empieza aquí'!$C$21/60)</f>
        <v/>
      </c>
      <c r="F31" s="27" t="str">
        <f aca="false">IF(E31="","",E31*IFERROR(INDEX('Empieza aquí'!$C$27:$C$30,MATCH(D31,'Empieza aquí'!$B$27:$B$30,0)),0))</f>
        <v/>
      </c>
      <c r="G31" s="28" t="str">
        <f aca="false">IF(OR(F31="",F31=0),"",RANK(F31,$F$12:$F$41))</f>
        <v/>
      </c>
      <c r="H31" s="29"/>
      <c r="I31" s="30" t="str">
        <f aca="false">IF(OR(F31="",AND(H31="",'Empieza aquí'!$C$23="")),"",F31*IF(H31&lt;&gt;"",H31,'Empieza aquí'!$C$23))</f>
        <v/>
      </c>
      <c r="J31" s="31" t="str">
        <f aca="false">IF(OR(F31="",F31=0),"",F31+ROW()/100000)</f>
        <v/>
      </c>
    </row>
    <row r="32" customFormat="false" ht="15" hidden="false" customHeight="false" outlineLevel="0" collapsed="false">
      <c r="A32" s="25"/>
      <c r="B32" s="25"/>
      <c r="C32" s="25"/>
      <c r="D32" s="25"/>
      <c r="E32" s="26" t="str">
        <f aca="false">IF(OR(B32="",C32=""),"",B32*C32*'Empieza aquí'!$C$21/60)</f>
        <v/>
      </c>
      <c r="F32" s="27" t="str">
        <f aca="false">IF(E32="","",E32*IFERROR(INDEX('Empieza aquí'!$C$27:$C$30,MATCH(D32,'Empieza aquí'!$B$27:$B$30,0)),0))</f>
        <v/>
      </c>
      <c r="G32" s="28" t="str">
        <f aca="false">IF(OR(F32="",F32=0),"",RANK(F32,$F$12:$F$41))</f>
        <v/>
      </c>
      <c r="H32" s="29"/>
      <c r="I32" s="30" t="str">
        <f aca="false">IF(OR(F32="",AND(H32="",'Empieza aquí'!$C$23="")),"",F32*IF(H32&lt;&gt;"",H32,'Empieza aquí'!$C$23))</f>
        <v/>
      </c>
      <c r="J32" s="31" t="str">
        <f aca="false">IF(OR(F32="",F32=0),"",F32+ROW()/100000)</f>
        <v/>
      </c>
    </row>
    <row r="33" customFormat="false" ht="15" hidden="false" customHeight="false" outlineLevel="0" collapsed="false">
      <c r="A33" s="25"/>
      <c r="B33" s="25"/>
      <c r="C33" s="25"/>
      <c r="D33" s="25"/>
      <c r="E33" s="26" t="str">
        <f aca="false">IF(OR(B33="",C33=""),"",B33*C33*'Empieza aquí'!$C$21/60)</f>
        <v/>
      </c>
      <c r="F33" s="27" t="str">
        <f aca="false">IF(E33="","",E33*IFERROR(INDEX('Empieza aquí'!$C$27:$C$30,MATCH(D33,'Empieza aquí'!$B$27:$B$30,0)),0))</f>
        <v/>
      </c>
      <c r="G33" s="28" t="str">
        <f aca="false">IF(OR(F33="",F33=0),"",RANK(F33,$F$12:$F$41))</f>
        <v/>
      </c>
      <c r="H33" s="29"/>
      <c r="I33" s="30" t="str">
        <f aca="false">IF(OR(F33="",AND(H33="",'Empieza aquí'!$C$23="")),"",F33*IF(H33&lt;&gt;"",H33,'Empieza aquí'!$C$23))</f>
        <v/>
      </c>
      <c r="J33" s="31" t="str">
        <f aca="false">IF(OR(F33="",F33=0),"",F33+ROW()/100000)</f>
        <v/>
      </c>
    </row>
    <row r="34" customFormat="false" ht="15" hidden="false" customHeight="false" outlineLevel="0" collapsed="false">
      <c r="A34" s="25"/>
      <c r="B34" s="25"/>
      <c r="C34" s="25"/>
      <c r="D34" s="25"/>
      <c r="E34" s="26" t="str">
        <f aca="false">IF(OR(B34="",C34=""),"",B34*C34*'Empieza aquí'!$C$21/60)</f>
        <v/>
      </c>
      <c r="F34" s="27" t="str">
        <f aca="false">IF(E34="","",E34*IFERROR(INDEX('Empieza aquí'!$C$27:$C$30,MATCH(D34,'Empieza aquí'!$B$27:$B$30,0)),0))</f>
        <v/>
      </c>
      <c r="G34" s="28" t="str">
        <f aca="false">IF(OR(F34="",F34=0),"",RANK(F34,$F$12:$F$41))</f>
        <v/>
      </c>
      <c r="H34" s="29"/>
      <c r="I34" s="30" t="str">
        <f aca="false">IF(OR(F34="",AND(H34="",'Empieza aquí'!$C$23="")),"",F34*IF(H34&lt;&gt;"",H34,'Empieza aquí'!$C$23))</f>
        <v/>
      </c>
      <c r="J34" s="31" t="str">
        <f aca="false">IF(OR(F34="",F34=0),"",F34+ROW()/100000)</f>
        <v/>
      </c>
    </row>
    <row r="35" customFormat="false" ht="15" hidden="false" customHeight="false" outlineLevel="0" collapsed="false">
      <c r="A35" s="25"/>
      <c r="B35" s="25"/>
      <c r="C35" s="25"/>
      <c r="D35" s="25"/>
      <c r="E35" s="26" t="str">
        <f aca="false">IF(OR(B35="",C35=""),"",B35*C35*'Empieza aquí'!$C$21/60)</f>
        <v/>
      </c>
      <c r="F35" s="27" t="str">
        <f aca="false">IF(E35="","",E35*IFERROR(INDEX('Empieza aquí'!$C$27:$C$30,MATCH(D35,'Empieza aquí'!$B$27:$B$30,0)),0))</f>
        <v/>
      </c>
      <c r="G35" s="28" t="str">
        <f aca="false">IF(OR(F35="",F35=0),"",RANK(F35,$F$12:$F$41))</f>
        <v/>
      </c>
      <c r="H35" s="29"/>
      <c r="I35" s="30" t="str">
        <f aca="false">IF(OR(F35="",AND(H35="",'Empieza aquí'!$C$23="")),"",F35*IF(H35&lt;&gt;"",H35,'Empieza aquí'!$C$23))</f>
        <v/>
      </c>
      <c r="J35" s="31" t="str">
        <f aca="false">IF(OR(F35="",F35=0),"",F35+ROW()/100000)</f>
        <v/>
      </c>
    </row>
    <row r="36" customFormat="false" ht="15" hidden="false" customHeight="false" outlineLevel="0" collapsed="false">
      <c r="A36" s="25"/>
      <c r="B36" s="25"/>
      <c r="C36" s="25"/>
      <c r="D36" s="25"/>
      <c r="E36" s="26" t="str">
        <f aca="false">IF(OR(B36="",C36=""),"",B36*C36*'Empieza aquí'!$C$21/60)</f>
        <v/>
      </c>
      <c r="F36" s="27" t="str">
        <f aca="false">IF(E36="","",E36*IFERROR(INDEX('Empieza aquí'!$C$27:$C$30,MATCH(D36,'Empieza aquí'!$B$27:$B$30,0)),0))</f>
        <v/>
      </c>
      <c r="G36" s="28" t="str">
        <f aca="false">IF(OR(F36="",F36=0),"",RANK(F36,$F$12:$F$41))</f>
        <v/>
      </c>
      <c r="H36" s="29"/>
      <c r="I36" s="30" t="str">
        <f aca="false">IF(OR(F36="",AND(H36="",'Empieza aquí'!$C$23="")),"",F36*IF(H36&lt;&gt;"",H36,'Empieza aquí'!$C$23))</f>
        <v/>
      </c>
      <c r="J36" s="31" t="str">
        <f aca="false">IF(OR(F36="",F36=0),"",F36+ROW()/100000)</f>
        <v/>
      </c>
    </row>
    <row r="37" customFormat="false" ht="15" hidden="false" customHeight="false" outlineLevel="0" collapsed="false">
      <c r="A37" s="25"/>
      <c r="B37" s="25"/>
      <c r="C37" s="25"/>
      <c r="D37" s="25"/>
      <c r="E37" s="26" t="str">
        <f aca="false">IF(OR(B37="",C37=""),"",B37*C37*'Empieza aquí'!$C$21/60)</f>
        <v/>
      </c>
      <c r="F37" s="27" t="str">
        <f aca="false">IF(E37="","",E37*IFERROR(INDEX('Empieza aquí'!$C$27:$C$30,MATCH(D37,'Empieza aquí'!$B$27:$B$30,0)),0))</f>
        <v/>
      </c>
      <c r="G37" s="28" t="str">
        <f aca="false">IF(OR(F37="",F37=0),"",RANK(F37,$F$12:$F$41))</f>
        <v/>
      </c>
      <c r="H37" s="29"/>
      <c r="I37" s="30" t="str">
        <f aca="false">IF(OR(F37="",AND(H37="",'Empieza aquí'!$C$23="")),"",F37*IF(H37&lt;&gt;"",H37,'Empieza aquí'!$C$23))</f>
        <v/>
      </c>
      <c r="J37" s="31" t="str">
        <f aca="false">IF(OR(F37="",F37=0),"",F37+ROW()/100000)</f>
        <v/>
      </c>
    </row>
    <row r="38" customFormat="false" ht="15" hidden="false" customHeight="false" outlineLevel="0" collapsed="false">
      <c r="A38" s="25"/>
      <c r="B38" s="25"/>
      <c r="C38" s="25"/>
      <c r="D38" s="25"/>
      <c r="E38" s="26" t="str">
        <f aca="false">IF(OR(B38="",C38=""),"",B38*C38*'Empieza aquí'!$C$21/60)</f>
        <v/>
      </c>
      <c r="F38" s="27" t="str">
        <f aca="false">IF(E38="","",E38*IFERROR(INDEX('Empieza aquí'!$C$27:$C$30,MATCH(D38,'Empieza aquí'!$B$27:$B$30,0)),0))</f>
        <v/>
      </c>
      <c r="G38" s="28" t="str">
        <f aca="false">IF(OR(F38="",F38=0),"",RANK(F38,$F$12:$F$41))</f>
        <v/>
      </c>
      <c r="H38" s="29"/>
      <c r="I38" s="30" t="str">
        <f aca="false">IF(OR(F38="",AND(H38="",'Empieza aquí'!$C$23="")),"",F38*IF(H38&lt;&gt;"",H38,'Empieza aquí'!$C$23))</f>
        <v/>
      </c>
      <c r="J38" s="31" t="str">
        <f aca="false">IF(OR(F38="",F38=0),"",F38+ROW()/100000)</f>
        <v/>
      </c>
    </row>
    <row r="39" customFormat="false" ht="15" hidden="false" customHeight="false" outlineLevel="0" collapsed="false">
      <c r="A39" s="25"/>
      <c r="B39" s="25"/>
      <c r="C39" s="25"/>
      <c r="D39" s="25"/>
      <c r="E39" s="26" t="str">
        <f aca="false">IF(OR(B39="",C39=""),"",B39*C39*'Empieza aquí'!$C$21/60)</f>
        <v/>
      </c>
      <c r="F39" s="27" t="str">
        <f aca="false">IF(E39="","",E39*IFERROR(INDEX('Empieza aquí'!$C$27:$C$30,MATCH(D39,'Empieza aquí'!$B$27:$B$30,0)),0))</f>
        <v/>
      </c>
      <c r="G39" s="28" t="str">
        <f aca="false">IF(OR(F39="",F39=0),"",RANK(F39,$F$12:$F$41))</f>
        <v/>
      </c>
      <c r="H39" s="29"/>
      <c r="I39" s="30" t="str">
        <f aca="false">IF(OR(F39="",AND(H39="",'Empieza aquí'!$C$23="")),"",F39*IF(H39&lt;&gt;"",H39,'Empieza aquí'!$C$23))</f>
        <v/>
      </c>
      <c r="J39" s="31" t="str">
        <f aca="false">IF(OR(F39="",F39=0),"",F39+ROW()/100000)</f>
        <v/>
      </c>
    </row>
    <row r="40" customFormat="false" ht="15" hidden="false" customHeight="false" outlineLevel="0" collapsed="false">
      <c r="A40" s="25"/>
      <c r="B40" s="25"/>
      <c r="C40" s="25"/>
      <c r="D40" s="25"/>
      <c r="E40" s="26" t="str">
        <f aca="false">IF(OR(B40="",C40=""),"",B40*C40*'Empieza aquí'!$C$21/60)</f>
        <v/>
      </c>
      <c r="F40" s="27" t="str">
        <f aca="false">IF(E40="","",E40*IFERROR(INDEX('Empieza aquí'!$C$27:$C$30,MATCH(D40,'Empieza aquí'!$B$27:$B$30,0)),0))</f>
        <v/>
      </c>
      <c r="G40" s="28" t="str">
        <f aca="false">IF(OR(F40="",F40=0),"",RANK(F40,$F$12:$F$41))</f>
        <v/>
      </c>
      <c r="H40" s="29"/>
      <c r="I40" s="30" t="str">
        <f aca="false">IF(OR(F40="",AND(H40="",'Empieza aquí'!$C$23="")),"",F40*IF(H40&lt;&gt;"",H40,'Empieza aquí'!$C$23))</f>
        <v/>
      </c>
      <c r="J40" s="31" t="str">
        <f aca="false">IF(OR(F40="",F40=0),"",F40+ROW()/100000)</f>
        <v/>
      </c>
    </row>
    <row r="41" customFormat="false" ht="15" hidden="false" customHeight="false" outlineLevel="0" collapsed="false">
      <c r="A41" s="25"/>
      <c r="B41" s="25"/>
      <c r="C41" s="25"/>
      <c r="D41" s="25"/>
      <c r="E41" s="26" t="str">
        <f aca="false">IF(OR(B41="",C41=""),"",B41*C41*'Empieza aquí'!$C$21/60)</f>
        <v/>
      </c>
      <c r="F41" s="27" t="str">
        <f aca="false">IF(E41="","",E41*IFERROR(INDEX('Empieza aquí'!$C$27:$C$30,MATCH(D41,'Empieza aquí'!$B$27:$B$30,0)),0))</f>
        <v/>
      </c>
      <c r="G41" s="28" t="str">
        <f aca="false">IF(OR(F41="",F41=0),"",RANK(F41,$F$12:$F$41))</f>
        <v/>
      </c>
      <c r="H41" s="29"/>
      <c r="I41" s="30" t="str">
        <f aca="false">IF(OR(F41="",AND(H41="",'Empieza aquí'!$C$23="")),"",F41*IF(H41&lt;&gt;"",H41,'Empieza aquí'!$C$23))</f>
        <v/>
      </c>
      <c r="J41" s="31" t="str">
        <f aca="false">IF(OR(F41="",F41=0),"",F41+ROW()/100000)</f>
        <v/>
      </c>
    </row>
    <row r="42" customFormat="false" ht="15" hidden="false" customHeight="false" outlineLevel="0" collapsed="false">
      <c r="A42" s="32" t="s">
        <v>48</v>
      </c>
      <c r="B42" s="33"/>
      <c r="C42" s="33"/>
      <c r="D42" s="33"/>
      <c r="E42" s="34" t="n">
        <f aca="false">SUM(E12:E41)</f>
        <v>0</v>
      </c>
      <c r="F42" s="34" t="n">
        <f aca="false">SUM(F12:F41)</f>
        <v>0</v>
      </c>
      <c r="G42" s="33"/>
      <c r="H42" s="33"/>
      <c r="I42" s="35" t="n">
        <f aca="false">SUM(I12:I41)</f>
        <v>0</v>
      </c>
    </row>
  </sheetData>
  <mergeCells count="3">
    <mergeCell ref="E5:H5"/>
    <mergeCell ref="E6:H6"/>
    <mergeCell ref="E7:H7"/>
  </mergeCells>
  <dataValidations count="1">
    <dataValidation allowBlank="true" error="Elige una de la lista: Casi toda, La mitad, Poco o Nada." errorStyle="stop" errorTitle="¿Cuánto puede hacer la IA?" operator="between" showDropDown="false" showErrorMessage="false" showInputMessage="false" sqref="D12:D41" type="list">
      <formula1>"Casi toda,La mitad,Poco,Nada"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3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true" outlineLevel="0" max="10" min="10" style="0" width="4"/>
  </cols>
  <sheetData>
    <row r="1" customFormat="false" ht="22.05" hidden="false" customHeight="false" outlineLevel="0" collapsed="false">
      <c r="A1" s="16" t="s">
        <v>49</v>
      </c>
    </row>
    <row r="2" customFormat="false" ht="15" hidden="false" customHeight="false" outlineLevel="0" collapsed="false">
      <c r="A2" s="36" t="s">
        <v>50</v>
      </c>
    </row>
    <row r="4" customFormat="false" ht="15" hidden="false" customHeight="false" outlineLevel="0" collapsed="false">
      <c r="A4" s="7" t="s">
        <v>31</v>
      </c>
      <c r="B4" s="17" t="n">
        <f aca="false">SUM($E$12:$E$41)</f>
        <v>337.5</v>
      </c>
      <c r="D4" s="18" t="s">
        <v>32</v>
      </c>
    </row>
    <row r="5" customFormat="false" ht="15" hidden="false" customHeight="false" outlineLevel="0" collapsed="false">
      <c r="A5" s="7" t="s">
        <v>33</v>
      </c>
      <c r="B5" s="17" t="n">
        <f aca="false">SUM($F$12:$F$41)</f>
        <v>193.5</v>
      </c>
      <c r="D5" s="11" t="s">
        <v>34</v>
      </c>
      <c r="E5" s="19" t="str">
        <f aca="false">IFERROR(INDEX($A$12:$A$41,MATCH(LARGE($J$12:$J$41,1),$J$12:$J$41,0)),"")</f>
        <v>Pasar datos de facturas o pedidos a una hoja</v>
      </c>
      <c r="F5" s="19"/>
      <c r="G5" s="19"/>
      <c r="H5" s="19"/>
      <c r="I5" s="20" t="n">
        <f aca="false">IFERROR(INDEX($F$12:$F$41,MATCH(LARGE($J$12:$J$41,1),$J$12:$J$41,0)),"")</f>
        <v>60</v>
      </c>
    </row>
    <row r="6" customFormat="false" ht="15" hidden="false" customHeight="false" outlineLevel="0" collapsed="false">
      <c r="A6" s="7" t="s">
        <v>35</v>
      </c>
      <c r="B6" s="21" t="n">
        <f aca="false">IF(B5=0,0,B5/'Empieza aquí'!$C$22)</f>
        <v>4.8375</v>
      </c>
      <c r="D6" s="11" t="s">
        <v>36</v>
      </c>
      <c r="E6" s="19" t="str">
        <f aca="false">IFERROR(INDEX($A$12:$A$41,MATCH(LARGE($J$12:$J$41,2),$J$12:$J$41,0)),"")</f>
        <v>Contestar correos que se repiten (presupuestos, dudas de clientes)</v>
      </c>
      <c r="F6" s="19"/>
      <c r="G6" s="19"/>
      <c r="H6" s="19"/>
      <c r="I6" s="20" t="n">
        <f aca="false">IFERROR(INDEX($F$12:$F$41,MATCH(LARGE($J$12:$J$41,2),$J$12:$J$41,0)),"")</f>
        <v>56.25</v>
      </c>
    </row>
    <row r="7" customFormat="false" ht="15" hidden="false" customHeight="false" outlineLevel="0" collapsed="false">
      <c r="A7" s="7" t="s">
        <v>37</v>
      </c>
      <c r="B7" s="22" t="n">
        <f aca="false">IF(COUNT($I$12:$I$41)=0,"—",SUM($I$12:$I$41))</f>
        <v>3645</v>
      </c>
      <c r="D7" s="11" t="s">
        <v>38</v>
      </c>
      <c r="E7" s="19" t="str">
        <f aca="false">IFERROR(INDEX($A$12:$A$41,MATCH(LARGE($J$12:$J$41,3),$J$12:$J$41,0)),"")</f>
        <v>Resumir reuniones y repartir las tareas</v>
      </c>
      <c r="F7" s="19"/>
      <c r="G7" s="19"/>
      <c r="H7" s="19"/>
      <c r="I7" s="20" t="n">
        <f aca="false">IFERROR(INDEX($F$12:$F$41,MATCH(LARGE($J$12:$J$41,3),$J$12:$J$41,0)),"")</f>
        <v>36</v>
      </c>
    </row>
    <row r="11" customFormat="false" ht="42" hidden="false" customHeight="true" outlineLevel="0" collapsed="false">
      <c r="A11" s="23" t="s">
        <v>39</v>
      </c>
      <c r="B11" s="24" t="s">
        <v>40</v>
      </c>
      <c r="C11" s="24" t="s">
        <v>41</v>
      </c>
      <c r="D11" s="24" t="s">
        <v>42</v>
      </c>
      <c r="E11" s="24" t="s">
        <v>43</v>
      </c>
      <c r="F11" s="24" t="s">
        <v>44</v>
      </c>
      <c r="G11" s="24" t="s">
        <v>45</v>
      </c>
      <c r="H11" s="24" t="s">
        <v>46</v>
      </c>
      <c r="I11" s="24" t="s">
        <v>47</v>
      </c>
    </row>
    <row r="12" customFormat="false" ht="15" hidden="false" customHeight="false" outlineLevel="0" collapsed="false">
      <c r="A12" s="25" t="s">
        <v>51</v>
      </c>
      <c r="B12" s="25" t="n">
        <v>10</v>
      </c>
      <c r="C12" s="25" t="n">
        <v>15</v>
      </c>
      <c r="D12" s="25" t="s">
        <v>23</v>
      </c>
      <c r="E12" s="26" t="n">
        <f aca="false">IF(OR(B12="",C12=""),"",B12*C12*'Empieza aquí'!$C$21/60)</f>
        <v>112.5</v>
      </c>
      <c r="F12" s="27" t="n">
        <f aca="false">IF(E12="","",E12*IFERROR(INDEX('Empieza aquí'!$C$27:$C$30,MATCH(D12,'Empieza aquí'!$B$27:$B$30,0)),0))</f>
        <v>56.25</v>
      </c>
      <c r="G12" s="28" t="n">
        <f aca="false">IF(OR(F12="",F12=0),"",RANK(F12,$F$12:$F$41))</f>
        <v>2</v>
      </c>
      <c r="H12" s="29" t="n">
        <v>20</v>
      </c>
      <c r="I12" s="30" t="n">
        <f aca="false">IF(OR(F12="",AND(H12="",'Empieza aquí'!$C$23="")),"",F12*IF(H12&lt;&gt;"",H12,'Empieza aquí'!$C$23))</f>
        <v>1125</v>
      </c>
      <c r="J12" s="31" t="n">
        <f aca="false">IF(OR(F12="",F12=0),"",F12+ROW()/100000)</f>
        <v>56.25012</v>
      </c>
    </row>
    <row r="13" customFormat="false" ht="15" hidden="false" customHeight="false" outlineLevel="0" collapsed="false">
      <c r="A13" s="25" t="s">
        <v>52</v>
      </c>
      <c r="B13" s="25" t="n">
        <v>5</v>
      </c>
      <c r="C13" s="25" t="n">
        <v>20</v>
      </c>
      <c r="D13" s="25" t="s">
        <v>22</v>
      </c>
      <c r="E13" s="26" t="n">
        <f aca="false">IF(OR(B13="",C13=""),"",B13*C13*'Empieza aquí'!$C$21/60)</f>
        <v>75</v>
      </c>
      <c r="F13" s="27" t="n">
        <f aca="false">IF(E13="","",E13*IFERROR(INDEX('Empieza aquí'!$C$27:$C$30,MATCH(D13,'Empieza aquí'!$B$27:$B$30,0)),0))</f>
        <v>60</v>
      </c>
      <c r="G13" s="28" t="n">
        <f aca="false">IF(OR(F13="",F13=0),"",RANK(F13,$F$12:$F$41))</f>
        <v>1</v>
      </c>
      <c r="H13" s="29" t="n">
        <v>20</v>
      </c>
      <c r="I13" s="30" t="n">
        <f aca="false">IF(OR(F13="",AND(H13="",'Empieza aquí'!$C$23="")),"",F13*IF(H13&lt;&gt;"",H13,'Empieza aquí'!$C$23))</f>
        <v>1200</v>
      </c>
      <c r="J13" s="31" t="n">
        <f aca="false">IF(OR(F13="",F13=0),"",F13+ROW()/100000)</f>
        <v>60.00013</v>
      </c>
    </row>
    <row r="14" customFormat="false" ht="15" hidden="false" customHeight="false" outlineLevel="0" collapsed="false">
      <c r="A14" s="25" t="s">
        <v>53</v>
      </c>
      <c r="B14" s="25" t="n">
        <v>60</v>
      </c>
      <c r="C14" s="25" t="n">
        <v>1</v>
      </c>
      <c r="D14" s="25" t="s">
        <v>23</v>
      </c>
      <c r="E14" s="26" t="n">
        <f aca="false">IF(OR(B14="",C14=""),"",B14*C14*'Empieza aquí'!$C$21/60)</f>
        <v>45</v>
      </c>
      <c r="F14" s="27" t="n">
        <f aca="false">IF(E14="","",E14*IFERROR(INDEX('Empieza aquí'!$C$27:$C$30,MATCH(D14,'Empieza aquí'!$B$27:$B$30,0)),0))</f>
        <v>22.5</v>
      </c>
      <c r="G14" s="28" t="n">
        <f aca="false">IF(OR(F14="",F14=0),"",RANK(F14,$F$12:$F$41))</f>
        <v>4</v>
      </c>
      <c r="H14" s="29" t="n">
        <v>20</v>
      </c>
      <c r="I14" s="30" t="n">
        <f aca="false">IF(OR(F14="",AND(H14="",'Empieza aquí'!$C$23="")),"",F14*IF(H14&lt;&gt;"",H14,'Empieza aquí'!$C$23))</f>
        <v>450</v>
      </c>
      <c r="J14" s="31" t="n">
        <f aca="false">IF(OR(F14="",F14=0),"",F14+ROW()/100000)</f>
        <v>22.50014</v>
      </c>
    </row>
    <row r="15" customFormat="false" ht="15" hidden="false" customHeight="false" outlineLevel="0" collapsed="false">
      <c r="A15" s="25" t="s">
        <v>54</v>
      </c>
      <c r="B15" s="25" t="n">
        <v>20</v>
      </c>
      <c r="C15" s="25" t="n">
        <v>3</v>
      </c>
      <c r="D15" s="25" t="s">
        <v>22</v>
      </c>
      <c r="E15" s="26" t="n">
        <f aca="false">IF(OR(B15="",C15=""),"",B15*C15*'Empieza aquí'!$C$21/60)</f>
        <v>45</v>
      </c>
      <c r="F15" s="27" t="n">
        <f aca="false">IF(E15="","",E15*IFERROR(INDEX('Empieza aquí'!$C$27:$C$30,MATCH(D15,'Empieza aquí'!$B$27:$B$30,0)),0))</f>
        <v>36</v>
      </c>
      <c r="G15" s="28" t="n">
        <f aca="false">IF(OR(F15="",F15=0),"",RANK(F15,$F$12:$F$41))</f>
        <v>3</v>
      </c>
      <c r="H15" s="29" t="n">
        <v>20</v>
      </c>
      <c r="I15" s="30" t="n">
        <f aca="false">IF(OR(F15="",AND(H15="",'Empieza aquí'!$C$23="")),"",F15*IF(H15&lt;&gt;"",H15,'Empieza aquí'!$C$23))</f>
        <v>720</v>
      </c>
      <c r="J15" s="31" t="n">
        <f aca="false">IF(OR(F15="",F15=0),"",F15+ROW()/100000)</f>
        <v>36.00015</v>
      </c>
    </row>
    <row r="16" customFormat="false" ht="15" hidden="false" customHeight="false" outlineLevel="0" collapsed="false">
      <c r="A16" s="25" t="s">
        <v>55</v>
      </c>
      <c r="B16" s="25" t="n">
        <v>5</v>
      </c>
      <c r="C16" s="25" t="n">
        <v>10</v>
      </c>
      <c r="D16" s="25" t="s">
        <v>24</v>
      </c>
      <c r="E16" s="26" t="n">
        <f aca="false">IF(OR(B16="",C16=""),"",B16*C16*'Empieza aquí'!$C$21/60)</f>
        <v>37.5</v>
      </c>
      <c r="F16" s="27" t="n">
        <f aca="false">IF(E16="","",E16*IFERROR(INDEX('Empieza aquí'!$C$27:$C$30,MATCH(D16,'Empieza aquí'!$B$27:$B$30,0)),0))</f>
        <v>7.5</v>
      </c>
      <c r="G16" s="28" t="n">
        <f aca="false">IF(OR(F16="",F16=0),"",RANK(F16,$F$12:$F$41))</f>
        <v>6</v>
      </c>
      <c r="H16" s="29" t="n">
        <v>20</v>
      </c>
      <c r="I16" s="30" t="n">
        <f aca="false">IF(OR(F16="",AND(H16="",'Empieza aquí'!$C$23="")),"",F16*IF(H16&lt;&gt;"",H16,'Empieza aquí'!$C$23))</f>
        <v>150</v>
      </c>
      <c r="J16" s="31" t="n">
        <f aca="false">IF(OR(F16="",F16=0),"",F16+ROW()/100000)</f>
        <v>7.50016</v>
      </c>
    </row>
    <row r="17" customFormat="false" ht="15" hidden="false" customHeight="false" outlineLevel="0" collapsed="false">
      <c r="A17" s="25" t="s">
        <v>56</v>
      </c>
      <c r="B17" s="25" t="n">
        <v>30</v>
      </c>
      <c r="C17" s="25" t="n">
        <v>1</v>
      </c>
      <c r="D17" s="25" t="s">
        <v>23</v>
      </c>
      <c r="E17" s="26" t="n">
        <f aca="false">IF(OR(B17="",C17=""),"",B17*C17*'Empieza aquí'!$C$21/60)</f>
        <v>22.5</v>
      </c>
      <c r="F17" s="27" t="n">
        <f aca="false">IF(E17="","",E17*IFERROR(INDEX('Empieza aquí'!$C$27:$C$30,MATCH(D17,'Empieza aquí'!$B$27:$B$30,0)),0))</f>
        <v>11.25</v>
      </c>
      <c r="G17" s="28" t="n">
        <f aca="false">IF(OR(F17="",F17=0),"",RANK(F17,$F$12:$F$41))</f>
        <v>5</v>
      </c>
      <c r="H17" s="29"/>
      <c r="I17" s="30" t="str">
        <f aca="false">IF(OR(F17="",AND(H17="",'Empieza aquí'!$C$23="")),"",F17*IF(H17&lt;&gt;"",H17,'Empieza aquí'!$C$23))</f>
        <v/>
      </c>
      <c r="J17" s="31" t="n">
        <f aca="false">IF(OR(F17="",F17=0),"",F17+ROW()/100000)</f>
        <v>11.25017</v>
      </c>
    </row>
    <row r="18" customFormat="false" ht="15" hidden="false" customHeight="false" outlineLevel="0" collapsed="false">
      <c r="A18" s="25"/>
      <c r="B18" s="25"/>
      <c r="C18" s="25"/>
      <c r="D18" s="25"/>
      <c r="E18" s="26" t="str">
        <f aca="false">IF(OR(B18="",C18=""),"",B18*C18*'Empieza aquí'!$C$21/60)</f>
        <v/>
      </c>
      <c r="F18" s="27" t="str">
        <f aca="false">IF(E18="","",E18*IFERROR(INDEX('Empieza aquí'!$C$27:$C$30,MATCH(D18,'Empieza aquí'!$B$27:$B$30,0)),0))</f>
        <v/>
      </c>
      <c r="G18" s="28" t="str">
        <f aca="false">IF(OR(F18="",F18=0),"",RANK(F18,$F$12:$F$41))</f>
        <v/>
      </c>
      <c r="H18" s="29"/>
      <c r="I18" s="30" t="str">
        <f aca="false">IF(OR(F18="",AND(H18="",'Empieza aquí'!$C$23="")),"",F18*IF(H18&lt;&gt;"",H18,'Empieza aquí'!$C$23))</f>
        <v/>
      </c>
      <c r="J18" s="31" t="str">
        <f aca="false">IF(OR(F18="",F18=0),"",F18+ROW()/100000)</f>
        <v/>
      </c>
    </row>
    <row r="19" customFormat="false" ht="15" hidden="false" customHeight="false" outlineLevel="0" collapsed="false">
      <c r="A19" s="25"/>
      <c r="B19" s="25"/>
      <c r="C19" s="25"/>
      <c r="D19" s="25"/>
      <c r="E19" s="26" t="str">
        <f aca="false">IF(OR(B19="",C19=""),"",B19*C19*'Empieza aquí'!$C$21/60)</f>
        <v/>
      </c>
      <c r="F19" s="27" t="str">
        <f aca="false">IF(E19="","",E19*IFERROR(INDEX('Empieza aquí'!$C$27:$C$30,MATCH(D19,'Empieza aquí'!$B$27:$B$30,0)),0))</f>
        <v/>
      </c>
      <c r="G19" s="28" t="str">
        <f aca="false">IF(OR(F19="",F19=0),"",RANK(F19,$F$12:$F$41))</f>
        <v/>
      </c>
      <c r="H19" s="29"/>
      <c r="I19" s="30" t="str">
        <f aca="false">IF(OR(F19="",AND(H19="",'Empieza aquí'!$C$23="")),"",F19*IF(H19&lt;&gt;"",H19,'Empieza aquí'!$C$23))</f>
        <v/>
      </c>
      <c r="J19" s="31" t="str">
        <f aca="false">IF(OR(F19="",F19=0),"",F19+ROW()/100000)</f>
        <v/>
      </c>
    </row>
    <row r="20" customFormat="false" ht="15" hidden="false" customHeight="false" outlineLevel="0" collapsed="false">
      <c r="A20" s="25"/>
      <c r="B20" s="25"/>
      <c r="C20" s="25"/>
      <c r="D20" s="25"/>
      <c r="E20" s="26" t="str">
        <f aca="false">IF(OR(B20="",C20=""),"",B20*C20*'Empieza aquí'!$C$21/60)</f>
        <v/>
      </c>
      <c r="F20" s="27" t="str">
        <f aca="false">IF(E20="","",E20*IFERROR(INDEX('Empieza aquí'!$C$27:$C$30,MATCH(D20,'Empieza aquí'!$B$27:$B$30,0)),0))</f>
        <v/>
      </c>
      <c r="G20" s="28" t="str">
        <f aca="false">IF(OR(F20="",F20=0),"",RANK(F20,$F$12:$F$41))</f>
        <v/>
      </c>
      <c r="H20" s="29"/>
      <c r="I20" s="30" t="str">
        <f aca="false">IF(OR(F20="",AND(H20="",'Empieza aquí'!$C$23="")),"",F20*IF(H20&lt;&gt;"",H20,'Empieza aquí'!$C$23))</f>
        <v/>
      </c>
      <c r="J20" s="31" t="str">
        <f aca="false">IF(OR(F20="",F20=0),"",F20+ROW()/100000)</f>
        <v/>
      </c>
    </row>
    <row r="21" customFormat="false" ht="15" hidden="false" customHeight="false" outlineLevel="0" collapsed="false">
      <c r="A21" s="25"/>
      <c r="B21" s="25"/>
      <c r="C21" s="25"/>
      <c r="D21" s="25"/>
      <c r="E21" s="26" t="str">
        <f aca="false">IF(OR(B21="",C21=""),"",B21*C21*'Empieza aquí'!$C$21/60)</f>
        <v/>
      </c>
      <c r="F21" s="27" t="str">
        <f aca="false">IF(E21="","",E21*IFERROR(INDEX('Empieza aquí'!$C$27:$C$30,MATCH(D21,'Empieza aquí'!$B$27:$B$30,0)),0))</f>
        <v/>
      </c>
      <c r="G21" s="28" t="str">
        <f aca="false">IF(OR(F21="",F21=0),"",RANK(F21,$F$12:$F$41))</f>
        <v/>
      </c>
      <c r="H21" s="29"/>
      <c r="I21" s="30" t="str">
        <f aca="false">IF(OR(F21="",AND(H21="",'Empieza aquí'!$C$23="")),"",F21*IF(H21&lt;&gt;"",H21,'Empieza aquí'!$C$23))</f>
        <v/>
      </c>
      <c r="J21" s="31" t="str">
        <f aca="false">IF(OR(F21="",F21=0),"",F21+ROW()/100000)</f>
        <v/>
      </c>
    </row>
    <row r="22" customFormat="false" ht="15" hidden="false" customHeight="false" outlineLevel="0" collapsed="false">
      <c r="A22" s="25"/>
      <c r="B22" s="25"/>
      <c r="C22" s="25"/>
      <c r="D22" s="25"/>
      <c r="E22" s="26" t="str">
        <f aca="false">IF(OR(B22="",C22=""),"",B22*C22*'Empieza aquí'!$C$21/60)</f>
        <v/>
      </c>
      <c r="F22" s="27" t="str">
        <f aca="false">IF(E22="","",E22*IFERROR(INDEX('Empieza aquí'!$C$27:$C$30,MATCH(D22,'Empieza aquí'!$B$27:$B$30,0)),0))</f>
        <v/>
      </c>
      <c r="G22" s="28" t="str">
        <f aca="false">IF(OR(F22="",F22=0),"",RANK(F22,$F$12:$F$41))</f>
        <v/>
      </c>
      <c r="H22" s="29"/>
      <c r="I22" s="30" t="str">
        <f aca="false">IF(OR(F22="",AND(H22="",'Empieza aquí'!$C$23="")),"",F22*IF(H22&lt;&gt;"",H22,'Empieza aquí'!$C$23))</f>
        <v/>
      </c>
      <c r="J22" s="31" t="str">
        <f aca="false">IF(OR(F22="",F22=0),"",F22+ROW()/100000)</f>
        <v/>
      </c>
    </row>
    <row r="23" customFormat="false" ht="15" hidden="false" customHeight="false" outlineLevel="0" collapsed="false">
      <c r="A23" s="25"/>
      <c r="B23" s="25"/>
      <c r="C23" s="25"/>
      <c r="D23" s="25"/>
      <c r="E23" s="26" t="str">
        <f aca="false">IF(OR(B23="",C23=""),"",B23*C23*'Empieza aquí'!$C$21/60)</f>
        <v/>
      </c>
      <c r="F23" s="27" t="str">
        <f aca="false">IF(E23="","",E23*IFERROR(INDEX('Empieza aquí'!$C$27:$C$30,MATCH(D23,'Empieza aquí'!$B$27:$B$30,0)),0))</f>
        <v/>
      </c>
      <c r="G23" s="28" t="str">
        <f aca="false">IF(OR(F23="",F23=0),"",RANK(F23,$F$12:$F$41))</f>
        <v/>
      </c>
      <c r="H23" s="29"/>
      <c r="I23" s="30" t="str">
        <f aca="false">IF(OR(F23="",AND(H23="",'Empieza aquí'!$C$23="")),"",F23*IF(H23&lt;&gt;"",H23,'Empieza aquí'!$C$23))</f>
        <v/>
      </c>
      <c r="J23" s="31" t="str">
        <f aca="false">IF(OR(F23="",F23=0),"",F23+ROW()/100000)</f>
        <v/>
      </c>
    </row>
    <row r="24" customFormat="false" ht="15" hidden="false" customHeight="false" outlineLevel="0" collapsed="false">
      <c r="A24" s="25"/>
      <c r="B24" s="25"/>
      <c r="C24" s="25"/>
      <c r="D24" s="25"/>
      <c r="E24" s="26" t="str">
        <f aca="false">IF(OR(B24="",C24=""),"",B24*C24*'Empieza aquí'!$C$21/60)</f>
        <v/>
      </c>
      <c r="F24" s="27" t="str">
        <f aca="false">IF(E24="","",E24*IFERROR(INDEX('Empieza aquí'!$C$27:$C$30,MATCH(D24,'Empieza aquí'!$B$27:$B$30,0)),0))</f>
        <v/>
      </c>
      <c r="G24" s="28" t="str">
        <f aca="false">IF(OR(F24="",F24=0),"",RANK(F24,$F$12:$F$41))</f>
        <v/>
      </c>
      <c r="H24" s="29"/>
      <c r="I24" s="30" t="str">
        <f aca="false">IF(OR(F24="",AND(H24="",'Empieza aquí'!$C$23="")),"",F24*IF(H24&lt;&gt;"",H24,'Empieza aquí'!$C$23))</f>
        <v/>
      </c>
      <c r="J24" s="31" t="str">
        <f aca="false">IF(OR(F24="",F24=0),"",F24+ROW()/100000)</f>
        <v/>
      </c>
    </row>
    <row r="25" customFormat="false" ht="15" hidden="false" customHeight="false" outlineLevel="0" collapsed="false">
      <c r="A25" s="25"/>
      <c r="B25" s="25"/>
      <c r="C25" s="25"/>
      <c r="D25" s="25"/>
      <c r="E25" s="26" t="str">
        <f aca="false">IF(OR(B25="",C25=""),"",B25*C25*'Empieza aquí'!$C$21/60)</f>
        <v/>
      </c>
      <c r="F25" s="27" t="str">
        <f aca="false">IF(E25="","",E25*IFERROR(INDEX('Empieza aquí'!$C$27:$C$30,MATCH(D25,'Empieza aquí'!$B$27:$B$30,0)),0))</f>
        <v/>
      </c>
      <c r="G25" s="28" t="str">
        <f aca="false">IF(OR(F25="",F25=0),"",RANK(F25,$F$12:$F$41))</f>
        <v/>
      </c>
      <c r="H25" s="29"/>
      <c r="I25" s="30" t="str">
        <f aca="false">IF(OR(F25="",AND(H25="",'Empieza aquí'!$C$23="")),"",F25*IF(H25&lt;&gt;"",H25,'Empieza aquí'!$C$23))</f>
        <v/>
      </c>
      <c r="J25" s="31" t="str">
        <f aca="false">IF(OR(F25="",F25=0),"",F25+ROW()/100000)</f>
        <v/>
      </c>
    </row>
    <row r="26" customFormat="false" ht="15" hidden="false" customHeight="false" outlineLevel="0" collapsed="false">
      <c r="A26" s="25"/>
      <c r="B26" s="25"/>
      <c r="C26" s="25"/>
      <c r="D26" s="25"/>
      <c r="E26" s="26" t="str">
        <f aca="false">IF(OR(B26="",C26=""),"",B26*C26*'Empieza aquí'!$C$21/60)</f>
        <v/>
      </c>
      <c r="F26" s="27" t="str">
        <f aca="false">IF(E26="","",E26*IFERROR(INDEX('Empieza aquí'!$C$27:$C$30,MATCH(D26,'Empieza aquí'!$B$27:$B$30,0)),0))</f>
        <v/>
      </c>
      <c r="G26" s="28" t="str">
        <f aca="false">IF(OR(F26="",F26=0),"",RANK(F26,$F$12:$F$41))</f>
        <v/>
      </c>
      <c r="H26" s="29"/>
      <c r="I26" s="30" t="str">
        <f aca="false">IF(OR(F26="",AND(H26="",'Empieza aquí'!$C$23="")),"",F26*IF(H26&lt;&gt;"",H26,'Empieza aquí'!$C$23))</f>
        <v/>
      </c>
      <c r="J26" s="31" t="str">
        <f aca="false">IF(OR(F26="",F26=0),"",F26+ROW()/100000)</f>
        <v/>
      </c>
    </row>
    <row r="27" customFormat="false" ht="15" hidden="false" customHeight="false" outlineLevel="0" collapsed="false">
      <c r="A27" s="25"/>
      <c r="B27" s="25"/>
      <c r="C27" s="25"/>
      <c r="D27" s="25"/>
      <c r="E27" s="26" t="str">
        <f aca="false">IF(OR(B27="",C27=""),"",B27*C27*'Empieza aquí'!$C$21/60)</f>
        <v/>
      </c>
      <c r="F27" s="27" t="str">
        <f aca="false">IF(E27="","",E27*IFERROR(INDEX('Empieza aquí'!$C$27:$C$30,MATCH(D27,'Empieza aquí'!$B$27:$B$30,0)),0))</f>
        <v/>
      </c>
      <c r="G27" s="28" t="str">
        <f aca="false">IF(OR(F27="",F27=0),"",RANK(F27,$F$12:$F$41))</f>
        <v/>
      </c>
      <c r="H27" s="29"/>
      <c r="I27" s="30" t="str">
        <f aca="false">IF(OR(F27="",AND(H27="",'Empieza aquí'!$C$23="")),"",F27*IF(H27&lt;&gt;"",H27,'Empieza aquí'!$C$23))</f>
        <v/>
      </c>
      <c r="J27" s="31" t="str">
        <f aca="false">IF(OR(F27="",F27=0),"",F27+ROW()/100000)</f>
        <v/>
      </c>
    </row>
    <row r="28" customFormat="false" ht="15" hidden="false" customHeight="false" outlineLevel="0" collapsed="false">
      <c r="A28" s="25"/>
      <c r="B28" s="25"/>
      <c r="C28" s="25"/>
      <c r="D28" s="25"/>
      <c r="E28" s="26" t="str">
        <f aca="false">IF(OR(B28="",C28=""),"",B28*C28*'Empieza aquí'!$C$21/60)</f>
        <v/>
      </c>
      <c r="F28" s="27" t="str">
        <f aca="false">IF(E28="","",E28*IFERROR(INDEX('Empieza aquí'!$C$27:$C$30,MATCH(D28,'Empieza aquí'!$B$27:$B$30,0)),0))</f>
        <v/>
      </c>
      <c r="G28" s="28" t="str">
        <f aca="false">IF(OR(F28="",F28=0),"",RANK(F28,$F$12:$F$41))</f>
        <v/>
      </c>
      <c r="H28" s="29"/>
      <c r="I28" s="30" t="str">
        <f aca="false">IF(OR(F28="",AND(H28="",'Empieza aquí'!$C$23="")),"",F28*IF(H28&lt;&gt;"",H28,'Empieza aquí'!$C$23))</f>
        <v/>
      </c>
      <c r="J28" s="31" t="str">
        <f aca="false">IF(OR(F28="",F28=0),"",F28+ROW()/100000)</f>
        <v/>
      </c>
    </row>
    <row r="29" customFormat="false" ht="15" hidden="false" customHeight="false" outlineLevel="0" collapsed="false">
      <c r="A29" s="25"/>
      <c r="B29" s="25"/>
      <c r="C29" s="25"/>
      <c r="D29" s="25"/>
      <c r="E29" s="26" t="str">
        <f aca="false">IF(OR(B29="",C29=""),"",B29*C29*'Empieza aquí'!$C$21/60)</f>
        <v/>
      </c>
      <c r="F29" s="27" t="str">
        <f aca="false">IF(E29="","",E29*IFERROR(INDEX('Empieza aquí'!$C$27:$C$30,MATCH(D29,'Empieza aquí'!$B$27:$B$30,0)),0))</f>
        <v/>
      </c>
      <c r="G29" s="28" t="str">
        <f aca="false">IF(OR(F29="",F29=0),"",RANK(F29,$F$12:$F$41))</f>
        <v/>
      </c>
      <c r="H29" s="29"/>
      <c r="I29" s="30" t="str">
        <f aca="false">IF(OR(F29="",AND(H29="",'Empieza aquí'!$C$23="")),"",F29*IF(H29&lt;&gt;"",H29,'Empieza aquí'!$C$23))</f>
        <v/>
      </c>
      <c r="J29" s="31" t="str">
        <f aca="false">IF(OR(F29="",F29=0),"",F29+ROW()/100000)</f>
        <v/>
      </c>
    </row>
    <row r="30" customFormat="false" ht="15" hidden="false" customHeight="false" outlineLevel="0" collapsed="false">
      <c r="A30" s="25"/>
      <c r="B30" s="25"/>
      <c r="C30" s="25"/>
      <c r="D30" s="25"/>
      <c r="E30" s="26" t="str">
        <f aca="false">IF(OR(B30="",C30=""),"",B30*C30*'Empieza aquí'!$C$21/60)</f>
        <v/>
      </c>
      <c r="F30" s="27" t="str">
        <f aca="false">IF(E30="","",E30*IFERROR(INDEX('Empieza aquí'!$C$27:$C$30,MATCH(D30,'Empieza aquí'!$B$27:$B$30,0)),0))</f>
        <v/>
      </c>
      <c r="G30" s="28" t="str">
        <f aca="false">IF(OR(F30="",F30=0),"",RANK(F30,$F$12:$F$41))</f>
        <v/>
      </c>
      <c r="H30" s="29"/>
      <c r="I30" s="30" t="str">
        <f aca="false">IF(OR(F30="",AND(H30="",'Empieza aquí'!$C$23="")),"",F30*IF(H30&lt;&gt;"",H30,'Empieza aquí'!$C$23))</f>
        <v/>
      </c>
      <c r="J30" s="31" t="str">
        <f aca="false">IF(OR(F30="",F30=0),"",F30+ROW()/100000)</f>
        <v/>
      </c>
    </row>
    <row r="31" customFormat="false" ht="15" hidden="false" customHeight="false" outlineLevel="0" collapsed="false">
      <c r="A31" s="25"/>
      <c r="B31" s="25"/>
      <c r="C31" s="25"/>
      <c r="D31" s="25"/>
      <c r="E31" s="26" t="str">
        <f aca="false">IF(OR(B31="",C31=""),"",B31*C31*'Empieza aquí'!$C$21/60)</f>
        <v/>
      </c>
      <c r="F31" s="27" t="str">
        <f aca="false">IF(E31="","",E31*IFERROR(INDEX('Empieza aquí'!$C$27:$C$30,MATCH(D31,'Empieza aquí'!$B$27:$B$30,0)),0))</f>
        <v/>
      </c>
      <c r="G31" s="28" t="str">
        <f aca="false">IF(OR(F31="",F31=0),"",RANK(F31,$F$12:$F$41))</f>
        <v/>
      </c>
      <c r="H31" s="29"/>
      <c r="I31" s="30" t="str">
        <f aca="false">IF(OR(F31="",AND(H31="",'Empieza aquí'!$C$23="")),"",F31*IF(H31&lt;&gt;"",H31,'Empieza aquí'!$C$23))</f>
        <v/>
      </c>
      <c r="J31" s="31" t="str">
        <f aca="false">IF(OR(F31="",F31=0),"",F31+ROW()/100000)</f>
        <v/>
      </c>
    </row>
    <row r="32" customFormat="false" ht="15" hidden="false" customHeight="false" outlineLevel="0" collapsed="false">
      <c r="A32" s="25"/>
      <c r="B32" s="25"/>
      <c r="C32" s="25"/>
      <c r="D32" s="25"/>
      <c r="E32" s="26" t="str">
        <f aca="false">IF(OR(B32="",C32=""),"",B32*C32*'Empieza aquí'!$C$21/60)</f>
        <v/>
      </c>
      <c r="F32" s="27" t="str">
        <f aca="false">IF(E32="","",E32*IFERROR(INDEX('Empieza aquí'!$C$27:$C$30,MATCH(D32,'Empieza aquí'!$B$27:$B$30,0)),0))</f>
        <v/>
      </c>
      <c r="G32" s="28" t="str">
        <f aca="false">IF(OR(F32="",F32=0),"",RANK(F32,$F$12:$F$41))</f>
        <v/>
      </c>
      <c r="H32" s="29"/>
      <c r="I32" s="30" t="str">
        <f aca="false">IF(OR(F32="",AND(H32="",'Empieza aquí'!$C$23="")),"",F32*IF(H32&lt;&gt;"",H32,'Empieza aquí'!$C$23))</f>
        <v/>
      </c>
      <c r="J32" s="31" t="str">
        <f aca="false">IF(OR(F32="",F32=0),"",F32+ROW()/100000)</f>
        <v/>
      </c>
    </row>
    <row r="33" customFormat="false" ht="15" hidden="false" customHeight="false" outlineLevel="0" collapsed="false">
      <c r="A33" s="25"/>
      <c r="B33" s="25"/>
      <c r="C33" s="25"/>
      <c r="D33" s="25"/>
      <c r="E33" s="26" t="str">
        <f aca="false">IF(OR(B33="",C33=""),"",B33*C33*'Empieza aquí'!$C$21/60)</f>
        <v/>
      </c>
      <c r="F33" s="27" t="str">
        <f aca="false">IF(E33="","",E33*IFERROR(INDEX('Empieza aquí'!$C$27:$C$30,MATCH(D33,'Empieza aquí'!$B$27:$B$30,0)),0))</f>
        <v/>
      </c>
      <c r="G33" s="28" t="str">
        <f aca="false">IF(OR(F33="",F33=0),"",RANK(F33,$F$12:$F$41))</f>
        <v/>
      </c>
      <c r="H33" s="29"/>
      <c r="I33" s="30" t="str">
        <f aca="false">IF(OR(F33="",AND(H33="",'Empieza aquí'!$C$23="")),"",F33*IF(H33&lt;&gt;"",H33,'Empieza aquí'!$C$23))</f>
        <v/>
      </c>
      <c r="J33" s="31" t="str">
        <f aca="false">IF(OR(F33="",F33=0),"",F33+ROW()/100000)</f>
        <v/>
      </c>
    </row>
    <row r="34" customFormat="false" ht="15" hidden="false" customHeight="false" outlineLevel="0" collapsed="false">
      <c r="A34" s="25"/>
      <c r="B34" s="25"/>
      <c r="C34" s="25"/>
      <c r="D34" s="25"/>
      <c r="E34" s="26" t="str">
        <f aca="false">IF(OR(B34="",C34=""),"",B34*C34*'Empieza aquí'!$C$21/60)</f>
        <v/>
      </c>
      <c r="F34" s="27" t="str">
        <f aca="false">IF(E34="","",E34*IFERROR(INDEX('Empieza aquí'!$C$27:$C$30,MATCH(D34,'Empieza aquí'!$B$27:$B$30,0)),0))</f>
        <v/>
      </c>
      <c r="G34" s="28" t="str">
        <f aca="false">IF(OR(F34="",F34=0),"",RANK(F34,$F$12:$F$41))</f>
        <v/>
      </c>
      <c r="H34" s="29"/>
      <c r="I34" s="30" t="str">
        <f aca="false">IF(OR(F34="",AND(H34="",'Empieza aquí'!$C$23="")),"",F34*IF(H34&lt;&gt;"",H34,'Empieza aquí'!$C$23))</f>
        <v/>
      </c>
      <c r="J34" s="31" t="str">
        <f aca="false">IF(OR(F34="",F34=0),"",F34+ROW()/100000)</f>
        <v/>
      </c>
    </row>
    <row r="35" customFormat="false" ht="15" hidden="false" customHeight="false" outlineLevel="0" collapsed="false">
      <c r="A35" s="25"/>
      <c r="B35" s="25"/>
      <c r="C35" s="25"/>
      <c r="D35" s="25"/>
      <c r="E35" s="26" t="str">
        <f aca="false">IF(OR(B35="",C35=""),"",B35*C35*'Empieza aquí'!$C$21/60)</f>
        <v/>
      </c>
      <c r="F35" s="27" t="str">
        <f aca="false">IF(E35="","",E35*IFERROR(INDEX('Empieza aquí'!$C$27:$C$30,MATCH(D35,'Empieza aquí'!$B$27:$B$30,0)),0))</f>
        <v/>
      </c>
      <c r="G35" s="28" t="str">
        <f aca="false">IF(OR(F35="",F35=0),"",RANK(F35,$F$12:$F$41))</f>
        <v/>
      </c>
      <c r="H35" s="29"/>
      <c r="I35" s="30" t="str">
        <f aca="false">IF(OR(F35="",AND(H35="",'Empieza aquí'!$C$23="")),"",F35*IF(H35&lt;&gt;"",H35,'Empieza aquí'!$C$23))</f>
        <v/>
      </c>
      <c r="J35" s="31" t="str">
        <f aca="false">IF(OR(F35="",F35=0),"",F35+ROW()/100000)</f>
        <v/>
      </c>
    </row>
    <row r="36" customFormat="false" ht="15" hidden="false" customHeight="false" outlineLevel="0" collapsed="false">
      <c r="A36" s="25"/>
      <c r="B36" s="25"/>
      <c r="C36" s="25"/>
      <c r="D36" s="25"/>
      <c r="E36" s="26" t="str">
        <f aca="false">IF(OR(B36="",C36=""),"",B36*C36*'Empieza aquí'!$C$21/60)</f>
        <v/>
      </c>
      <c r="F36" s="27" t="str">
        <f aca="false">IF(E36="","",E36*IFERROR(INDEX('Empieza aquí'!$C$27:$C$30,MATCH(D36,'Empieza aquí'!$B$27:$B$30,0)),0))</f>
        <v/>
      </c>
      <c r="G36" s="28" t="str">
        <f aca="false">IF(OR(F36="",F36=0),"",RANK(F36,$F$12:$F$41))</f>
        <v/>
      </c>
      <c r="H36" s="29"/>
      <c r="I36" s="30" t="str">
        <f aca="false">IF(OR(F36="",AND(H36="",'Empieza aquí'!$C$23="")),"",F36*IF(H36&lt;&gt;"",H36,'Empieza aquí'!$C$23))</f>
        <v/>
      </c>
      <c r="J36" s="31" t="str">
        <f aca="false">IF(OR(F36="",F36=0),"",F36+ROW()/100000)</f>
        <v/>
      </c>
    </row>
    <row r="37" customFormat="false" ht="15" hidden="false" customHeight="false" outlineLevel="0" collapsed="false">
      <c r="A37" s="25"/>
      <c r="B37" s="25"/>
      <c r="C37" s="25"/>
      <c r="D37" s="25"/>
      <c r="E37" s="26" t="str">
        <f aca="false">IF(OR(B37="",C37=""),"",B37*C37*'Empieza aquí'!$C$21/60)</f>
        <v/>
      </c>
      <c r="F37" s="27" t="str">
        <f aca="false">IF(E37="","",E37*IFERROR(INDEX('Empieza aquí'!$C$27:$C$30,MATCH(D37,'Empieza aquí'!$B$27:$B$30,0)),0))</f>
        <v/>
      </c>
      <c r="G37" s="28" t="str">
        <f aca="false">IF(OR(F37="",F37=0),"",RANK(F37,$F$12:$F$41))</f>
        <v/>
      </c>
      <c r="H37" s="29"/>
      <c r="I37" s="30" t="str">
        <f aca="false">IF(OR(F37="",AND(H37="",'Empieza aquí'!$C$23="")),"",F37*IF(H37&lt;&gt;"",H37,'Empieza aquí'!$C$23))</f>
        <v/>
      </c>
      <c r="J37" s="31" t="str">
        <f aca="false">IF(OR(F37="",F37=0),"",F37+ROW()/100000)</f>
        <v/>
      </c>
    </row>
    <row r="38" customFormat="false" ht="15" hidden="false" customHeight="false" outlineLevel="0" collapsed="false">
      <c r="A38" s="25"/>
      <c r="B38" s="25"/>
      <c r="C38" s="25"/>
      <c r="D38" s="25"/>
      <c r="E38" s="26" t="str">
        <f aca="false">IF(OR(B38="",C38=""),"",B38*C38*'Empieza aquí'!$C$21/60)</f>
        <v/>
      </c>
      <c r="F38" s="27" t="str">
        <f aca="false">IF(E38="","",E38*IFERROR(INDEX('Empieza aquí'!$C$27:$C$30,MATCH(D38,'Empieza aquí'!$B$27:$B$30,0)),0))</f>
        <v/>
      </c>
      <c r="G38" s="28" t="str">
        <f aca="false">IF(OR(F38="",F38=0),"",RANK(F38,$F$12:$F$41))</f>
        <v/>
      </c>
      <c r="H38" s="29"/>
      <c r="I38" s="30" t="str">
        <f aca="false">IF(OR(F38="",AND(H38="",'Empieza aquí'!$C$23="")),"",F38*IF(H38&lt;&gt;"",H38,'Empieza aquí'!$C$23))</f>
        <v/>
      </c>
      <c r="J38" s="31" t="str">
        <f aca="false">IF(OR(F38="",F38=0),"",F38+ROW()/100000)</f>
        <v/>
      </c>
    </row>
    <row r="39" customFormat="false" ht="15" hidden="false" customHeight="false" outlineLevel="0" collapsed="false">
      <c r="A39" s="25"/>
      <c r="B39" s="25"/>
      <c r="C39" s="25"/>
      <c r="D39" s="25"/>
      <c r="E39" s="26" t="str">
        <f aca="false">IF(OR(B39="",C39=""),"",B39*C39*'Empieza aquí'!$C$21/60)</f>
        <v/>
      </c>
      <c r="F39" s="27" t="str">
        <f aca="false">IF(E39="","",E39*IFERROR(INDEX('Empieza aquí'!$C$27:$C$30,MATCH(D39,'Empieza aquí'!$B$27:$B$30,0)),0))</f>
        <v/>
      </c>
      <c r="G39" s="28" t="str">
        <f aca="false">IF(OR(F39="",F39=0),"",RANK(F39,$F$12:$F$41))</f>
        <v/>
      </c>
      <c r="H39" s="29"/>
      <c r="I39" s="30" t="str">
        <f aca="false">IF(OR(F39="",AND(H39="",'Empieza aquí'!$C$23="")),"",F39*IF(H39&lt;&gt;"",H39,'Empieza aquí'!$C$23))</f>
        <v/>
      </c>
      <c r="J39" s="31" t="str">
        <f aca="false">IF(OR(F39="",F39=0),"",F39+ROW()/100000)</f>
        <v/>
      </c>
    </row>
    <row r="40" customFormat="false" ht="15" hidden="false" customHeight="false" outlineLevel="0" collapsed="false">
      <c r="A40" s="25"/>
      <c r="B40" s="25"/>
      <c r="C40" s="25"/>
      <c r="D40" s="25"/>
      <c r="E40" s="26" t="str">
        <f aca="false">IF(OR(B40="",C40=""),"",B40*C40*'Empieza aquí'!$C$21/60)</f>
        <v/>
      </c>
      <c r="F40" s="27" t="str">
        <f aca="false">IF(E40="","",E40*IFERROR(INDEX('Empieza aquí'!$C$27:$C$30,MATCH(D40,'Empieza aquí'!$B$27:$B$30,0)),0))</f>
        <v/>
      </c>
      <c r="G40" s="28" t="str">
        <f aca="false">IF(OR(F40="",F40=0),"",RANK(F40,$F$12:$F$41))</f>
        <v/>
      </c>
      <c r="H40" s="29"/>
      <c r="I40" s="30" t="str">
        <f aca="false">IF(OR(F40="",AND(H40="",'Empieza aquí'!$C$23="")),"",F40*IF(H40&lt;&gt;"",H40,'Empieza aquí'!$C$23))</f>
        <v/>
      </c>
      <c r="J40" s="31" t="str">
        <f aca="false">IF(OR(F40="",F40=0),"",F40+ROW()/100000)</f>
        <v/>
      </c>
    </row>
    <row r="41" customFormat="false" ht="15" hidden="false" customHeight="false" outlineLevel="0" collapsed="false">
      <c r="A41" s="25"/>
      <c r="B41" s="25"/>
      <c r="C41" s="25"/>
      <c r="D41" s="25"/>
      <c r="E41" s="26" t="str">
        <f aca="false">IF(OR(B41="",C41=""),"",B41*C41*'Empieza aquí'!$C$21/60)</f>
        <v/>
      </c>
      <c r="F41" s="27" t="str">
        <f aca="false">IF(E41="","",E41*IFERROR(INDEX('Empieza aquí'!$C$27:$C$30,MATCH(D41,'Empieza aquí'!$B$27:$B$30,0)),0))</f>
        <v/>
      </c>
      <c r="G41" s="28" t="str">
        <f aca="false">IF(OR(F41="",F41=0),"",RANK(F41,$F$12:$F$41))</f>
        <v/>
      </c>
      <c r="H41" s="29"/>
      <c r="I41" s="30" t="str">
        <f aca="false">IF(OR(F41="",AND(H41="",'Empieza aquí'!$C$23="")),"",F41*IF(H41&lt;&gt;"",H41,'Empieza aquí'!$C$23))</f>
        <v/>
      </c>
      <c r="J41" s="31" t="str">
        <f aca="false">IF(OR(F41="",F41=0),"",F41+ROW()/100000)</f>
        <v/>
      </c>
    </row>
    <row r="42" customFormat="false" ht="15" hidden="false" customHeight="false" outlineLevel="0" collapsed="false">
      <c r="A42" s="32" t="s">
        <v>48</v>
      </c>
      <c r="B42" s="33"/>
      <c r="C42" s="33"/>
      <c r="D42" s="33"/>
      <c r="E42" s="34" t="n">
        <f aca="false">SUM(E12:E41)</f>
        <v>337.5</v>
      </c>
      <c r="F42" s="34" t="n">
        <f aca="false">SUM(F12:F41)</f>
        <v>193.5</v>
      </c>
      <c r="G42" s="33"/>
      <c r="H42" s="33"/>
      <c r="I42" s="35" t="n">
        <f aca="false">SUM(I12:I41)</f>
        <v>3645</v>
      </c>
    </row>
  </sheetData>
  <mergeCells count="3">
    <mergeCell ref="E5:H5"/>
    <mergeCell ref="E6:H6"/>
    <mergeCell ref="E7:H7"/>
  </mergeCells>
  <dataValidations count="1">
    <dataValidation allowBlank="true" error="Elige una de la lista: Casi toda, La mitad, Poco o Nada." errorStyle="stop" errorTitle="¿Cuánto puede hacer la IA?" operator="between" showDropDown="false" showErrorMessage="false" showInputMessage="false" sqref="D12:D41" type="list">
      <formula1>"Casi toda,La mitad,Poco,Nada"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2026-10-16T09:32:37Z</dcterms:created>
  <dc:creator>openpyxl</dc:creator>
  <dc:description/>
  <dc:language>es-ES</dc:language>
  <cp:lastModifiedBy/>
  <dcterms:modified xsi:type="dcterms:W3CDTF">2026-10-16T09:32:37Z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